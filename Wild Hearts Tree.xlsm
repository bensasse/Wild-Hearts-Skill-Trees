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ersonal\"/>
    </mc:Choice>
  </mc:AlternateContent>
  <xr:revisionPtr revIDLastSave="0" documentId="13_ncr:1_{B5F28470-9A53-4C32-B1A8-0D2BE29086BF}" xr6:coauthVersionLast="47" xr6:coauthVersionMax="47" xr10:uidLastSave="{00000000-0000-0000-0000-000000000000}"/>
  <bookViews>
    <workbookView xWindow="-120" yWindow="-120" windowWidth="38640" windowHeight="15840" activeTab="2" xr2:uid="{A9E4340E-45A4-4EDB-B953-95E6B377F6B0}"/>
  </bookViews>
  <sheets>
    <sheet name="Staff Pivot" sheetId="4" r:id="rId1"/>
    <sheet name="Staff Pivot Edit" sheetId="6" r:id="rId2"/>
    <sheet name="Staff" sheetId="1" r:id="rId3"/>
    <sheet name="Inherited Skills" sheetId="2" r:id="rId4"/>
  </sheets>
  <definedNames>
    <definedName name="_xlnm._FilterDatabase" localSheetId="3" hidden="1">'Inherited Skills'!$A$1:$B$6</definedName>
  </definedNames>
  <calcPr calcId="191029"/>
  <pivotCaches>
    <pivotCache cacheId="11" r:id="rId5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34" i="1" l="1"/>
  <c r="C138" i="1"/>
  <c r="C137" i="1"/>
  <c r="C133" i="1"/>
  <c r="C131" i="1"/>
  <c r="C128" i="1"/>
  <c r="C125" i="1"/>
  <c r="C123" i="1"/>
  <c r="C115" i="1"/>
  <c r="C114" i="1"/>
  <c r="C108" i="1"/>
  <c r="C83" i="1"/>
  <c r="C82" i="1"/>
  <c r="C78" i="1"/>
  <c r="C77" i="1"/>
  <c r="C75" i="1"/>
  <c r="C73" i="1"/>
  <c r="C72" i="1"/>
  <c r="C54" i="1"/>
  <c r="B54" i="1"/>
  <c r="C65" i="1" l="1"/>
  <c r="B138" i="1"/>
  <c r="B137" i="1"/>
  <c r="B136" i="1"/>
  <c r="B134" i="1"/>
  <c r="B133" i="1"/>
  <c r="B132" i="1"/>
  <c r="B131" i="1"/>
  <c r="B130" i="1"/>
  <c r="B129" i="1"/>
  <c r="B128" i="1"/>
  <c r="B127" i="1"/>
  <c r="B126" i="1"/>
  <c r="B125" i="1"/>
  <c r="B124" i="1"/>
  <c r="B123" i="1"/>
  <c r="B122" i="1"/>
  <c r="B121" i="1"/>
  <c r="B120" i="1"/>
  <c r="B119" i="1"/>
  <c r="B118" i="1"/>
  <c r="C117" i="1"/>
  <c r="B117" i="1"/>
  <c r="B116" i="1"/>
  <c r="B94" i="1"/>
  <c r="B113" i="1"/>
  <c r="B112" i="1"/>
  <c r="B111" i="1"/>
  <c r="B110" i="1"/>
  <c r="B108" i="1"/>
  <c r="B107" i="1"/>
  <c r="B106" i="1"/>
  <c r="B105" i="1"/>
  <c r="B104" i="1"/>
  <c r="B103" i="1"/>
  <c r="B102" i="1"/>
  <c r="B100" i="1"/>
  <c r="B99" i="1"/>
  <c r="B98" i="1"/>
  <c r="B97" i="1"/>
  <c r="C85" i="1"/>
  <c r="B85" i="1"/>
  <c r="B96" i="1"/>
  <c r="B95" i="1"/>
  <c r="B93" i="1"/>
  <c r="B91" i="1"/>
  <c r="B92" i="1"/>
  <c r="B87" i="1"/>
  <c r="C87" i="1"/>
  <c r="B90" i="1"/>
  <c r="B89" i="1"/>
  <c r="B88" i="1"/>
  <c r="B86" i="1"/>
  <c r="B83" i="1"/>
  <c r="B82" i="1"/>
  <c r="B81" i="1"/>
  <c r="B80" i="1"/>
  <c r="C84" i="1"/>
  <c r="B84" i="1"/>
  <c r="C68" i="1"/>
  <c r="B79" i="1"/>
  <c r="B78" i="1"/>
  <c r="B77" i="1"/>
  <c r="B76" i="1"/>
  <c r="B75" i="1"/>
  <c r="B71" i="1"/>
  <c r="B70" i="1"/>
  <c r="B74" i="1"/>
  <c r="B73" i="1"/>
  <c r="B72" i="1"/>
  <c r="B69" i="1"/>
  <c r="B68" i="1"/>
  <c r="B67" i="1"/>
  <c r="B66" i="1"/>
  <c r="B65" i="1"/>
  <c r="B64" i="1"/>
  <c r="B63" i="1"/>
  <c r="B62" i="1"/>
  <c r="B61" i="1"/>
  <c r="B60" i="1"/>
  <c r="B59" i="1"/>
  <c r="B57" i="1"/>
  <c r="B56" i="1"/>
  <c r="B55" i="1"/>
  <c r="B53" i="1"/>
  <c r="B52" i="1"/>
  <c r="B51" i="1"/>
  <c r="B50" i="1"/>
  <c r="C136" i="1"/>
  <c r="C135" i="1"/>
  <c r="C132" i="1"/>
  <c r="C130" i="1"/>
  <c r="C129" i="1"/>
  <c r="C127" i="1"/>
  <c r="C126" i="1"/>
  <c r="C124" i="1"/>
  <c r="C122" i="1"/>
  <c r="C121" i="1"/>
  <c r="C120" i="1"/>
  <c r="C119" i="1"/>
  <c r="C118" i="1"/>
  <c r="C116" i="1"/>
  <c r="C113" i="1"/>
  <c r="C109" i="1"/>
  <c r="C112" i="1"/>
  <c r="C111" i="1"/>
  <c r="C110" i="1"/>
  <c r="C107" i="1"/>
  <c r="C106" i="1"/>
  <c r="C101" i="1"/>
  <c r="C105" i="1"/>
  <c r="C104" i="1"/>
  <c r="C103" i="1"/>
  <c r="C102" i="1"/>
  <c r="C100" i="1"/>
  <c r="C99" i="1"/>
  <c r="C98" i="1"/>
  <c r="C97" i="1"/>
  <c r="C93" i="1"/>
  <c r="C96" i="1"/>
  <c r="C95" i="1"/>
  <c r="C94" i="1"/>
  <c r="C92" i="1"/>
  <c r="C91" i="1"/>
  <c r="C90" i="1"/>
  <c r="C89" i="1"/>
  <c r="C88" i="1"/>
  <c r="C86" i="1"/>
  <c r="C81" i="1" l="1"/>
  <c r="C80" i="1"/>
  <c r="C79" i="1"/>
  <c r="C76" i="1"/>
  <c r="C74" i="1"/>
  <c r="C71" i="1"/>
  <c r="C70" i="1"/>
  <c r="C69" i="1"/>
  <c r="C67" i="1"/>
  <c r="C66" i="1"/>
  <c r="C64" i="1"/>
  <c r="C63" i="1"/>
  <c r="C62" i="1"/>
  <c r="C61" i="1"/>
  <c r="C60" i="1"/>
  <c r="C59" i="1"/>
  <c r="C58" i="1"/>
  <c r="C57" i="1"/>
  <c r="C56" i="1"/>
  <c r="C55" i="1"/>
  <c r="C53" i="1"/>
  <c r="C52" i="1"/>
  <c r="C51" i="1"/>
  <c r="C50" i="1"/>
</calcChain>
</file>

<file path=xl/sharedStrings.xml><?xml version="1.0" encoding="utf-8"?>
<sst xmlns="http://schemas.openxmlformats.org/spreadsheetml/2006/main" count="322" uniqueCount="161">
  <si>
    <t>Left</t>
  </si>
  <si>
    <t>Middle</t>
  </si>
  <si>
    <t>Right</t>
  </si>
  <si>
    <t>Transformative Guard</t>
  </si>
  <si>
    <t>Threadpile - 1</t>
  </si>
  <si>
    <t>Savage - 2</t>
  </si>
  <si>
    <t>Critical Master</t>
  </si>
  <si>
    <t>?</t>
  </si>
  <si>
    <t>Karakuri Coordination: Remedy - 2</t>
  </si>
  <si>
    <t>Resurrection Stance</t>
  </si>
  <si>
    <t>Savage - 4</t>
  </si>
  <si>
    <t>Ukemi Art</t>
  </si>
  <si>
    <t>Fusion Reaper</t>
  </si>
  <si>
    <t>Karakuri Coordination: Remedy - 3</t>
  </si>
  <si>
    <t>Combined Arts: Attack</t>
  </si>
  <si>
    <t>none</t>
  </si>
  <si>
    <t>Water Wilt</t>
  </si>
  <si>
    <t>Leeway</t>
  </si>
  <si>
    <t>Slight of Hand: Fury</t>
  </si>
  <si>
    <t>Occasionally reduces your adversary's water resilience for a while when making a water-based attack</t>
  </si>
  <si>
    <t>Boosts attack for a while after conjuring a karakuri</t>
  </si>
  <si>
    <t>Inhibits stamina loss while in good health</t>
  </si>
  <si>
    <t>Critical Boost: Fury</t>
  </si>
  <si>
    <t>Boosts the power of critical hits</t>
  </si>
  <si>
    <t>Boosts defense for a while on every mutation level increase</t>
  </si>
  <si>
    <t>Name</t>
  </si>
  <si>
    <t>Description</t>
  </si>
  <si>
    <t>Follow-Through</t>
  </si>
  <si>
    <t>Makes stamina recover when you unleash a critical hit</t>
  </si>
  <si>
    <t>Boosts the chance of unleashing critical hits</t>
  </si>
  <si>
    <t>Boosts the chance of unleashing critical hits for a while on destroying part of a kemono</t>
  </si>
  <si>
    <t>Strong Arm: Thread</t>
  </si>
  <si>
    <t>Increases the amount of karakuri thread obtainable while your "hunter's Arm" is active</t>
  </si>
  <si>
    <t>Reactive Expert</t>
  </si>
  <si>
    <t>Greatly reduces stamina loss when using ukemi to take an attack well</t>
  </si>
  <si>
    <t>Fog Fall</t>
  </si>
  <si>
    <t>Boosts attack power against airborne kemono</t>
  </si>
  <si>
    <t>Wind Wilt</t>
  </si>
  <si>
    <t>Occasionally reduces your adversary's wind resilience for a while when making a wind-based attack</t>
  </si>
  <si>
    <t>Karakuri Coordination: Remedy</t>
  </si>
  <si>
    <t>Recovers health when an attack incorporating basic karakuri connects</t>
  </si>
  <si>
    <t>Fillip</t>
  </si>
  <si>
    <t>Inhibits stamina loss when health is low</t>
  </si>
  <si>
    <t>Surprise Attack</t>
  </si>
  <si>
    <t>Boosts attack power if you're not noticed by kemono</t>
  </si>
  <si>
    <t>Threadpile</t>
  </si>
  <si>
    <t>Increases the amount of karakuri thread that can extracted in one go</t>
  </si>
  <si>
    <t>Nimble-Fingered</t>
  </si>
  <si>
    <t>Boosts the rate at which healing water can be drunk</t>
  </si>
  <si>
    <t>Strong Arm: Spirit</t>
  </si>
  <si>
    <t>Boosts the chance of landing critical hits for a while when "hunter's Arm" is activated</t>
  </si>
  <si>
    <t>Stand Tall</t>
  </si>
  <si>
    <t>Makes reeling from attacks on the ground less likely by a fixed amount</t>
  </si>
  <si>
    <t>Karakuri Coordination: Fury</t>
  </si>
  <si>
    <t>Boosts the power of attacks incorporating basic karakuri</t>
  </si>
  <si>
    <t>Fatal Foray</t>
  </si>
  <si>
    <t>Boosts attack while suffering from ailments;</t>
  </si>
  <si>
    <t>Fusion Stalwart</t>
  </si>
  <si>
    <t>Inhibits stamina depletion for a while after conjuring a fusion karakuri</t>
  </si>
  <si>
    <t>Wood wilt</t>
  </si>
  <si>
    <t>Occasionally reduces your target's wood resilience for a while when making a wood-based attack</t>
  </si>
  <si>
    <t>Ressurection Stance</t>
  </si>
  <si>
    <t>Boosts attack and defense for a while on saving an ally</t>
  </si>
  <si>
    <t>Bare Thread</t>
  </si>
  <si>
    <t>Inhibits stamina loss when karakuri thread has run out</t>
  </si>
  <si>
    <t>Hover</t>
  </si>
  <si>
    <t>Makes reeling from attacks in the air less liekly by a fixed amount</t>
  </si>
  <si>
    <t>Savage</t>
  </si>
  <si>
    <t>Increases Attack</t>
  </si>
  <si>
    <t>Fire Wilt</t>
  </si>
  <si>
    <t>Occasionally reduces your target's fire resilience for a while when making a fire-based attack</t>
  </si>
  <si>
    <t>Fleet Foot</t>
  </si>
  <si>
    <t>Boosts attack for a while after a sliding dodge</t>
  </si>
  <si>
    <t xml:space="preserve"> Stowed Weapon Art</t>
  </si>
  <si>
    <t>Increases the speed of stowing your weapon</t>
  </si>
  <si>
    <t>Hawk Eye</t>
  </si>
  <si>
    <t>Boosts attack power against kemono weaknesses</t>
  </si>
  <si>
    <t>Sidestepper</t>
  </si>
  <si>
    <t>Extends the distance by which attacks are dodged</t>
  </si>
  <si>
    <t>Eagle Eye</t>
  </si>
  <si>
    <t>Boosts attack and defense for a while on deflecting a kemono with a fusion karakuri</t>
  </si>
  <si>
    <t>Boost the power of (Middle mouse) attacks</t>
  </si>
  <si>
    <t>Kaleidoscope</t>
  </si>
  <si>
    <t>Lengthens the amount of time before the mutation level resets</t>
  </si>
  <si>
    <t>Destruction Art</t>
  </si>
  <si>
    <t>Makes all parts of kemono easier to destroy</t>
  </si>
  <si>
    <t>One Stroke: Fury</t>
  </si>
  <si>
    <t>Boosts attack for a while on destroying part of a kemono</t>
  </si>
  <si>
    <t>One Stroke: Critical</t>
  </si>
  <si>
    <t>Earth Wilt</t>
  </si>
  <si>
    <t>Occasionally reduces your target's earth resilience for a while when making a earth-based attack</t>
  </si>
  <si>
    <t>Final Blow</t>
  </si>
  <si>
    <t>Boosts attack power against toppled kemono</t>
  </si>
  <si>
    <t>Strong arm: protection</t>
  </si>
  <si>
    <t>Boosts defense for a while when "hunter's arm" is activated</t>
  </si>
  <si>
    <t>Recovers a small amount of karakuri thread when a fusion karakuri is conjured</t>
  </si>
  <si>
    <t>Spirited Ward</t>
  </si>
  <si>
    <t>Boosts defense during full-body attacks</t>
  </si>
  <si>
    <t>Reutilization</t>
  </si>
  <si>
    <t>Recovers a small amount of karakuri thready when a conjured karakuri is dismantled</t>
  </si>
  <si>
    <t>Reduces injury after being thrown by a kemono</t>
  </si>
  <si>
    <t>Follow Through - 2</t>
  </si>
  <si>
    <t>Transformative Guard - 16</t>
  </si>
  <si>
    <t>Critical Boost: Fury - 8</t>
  </si>
  <si>
    <t>Hawk Eye - 5</t>
  </si>
  <si>
    <t>Transformative Guard - 24</t>
  </si>
  <si>
    <t>Critical Master - 5</t>
  </si>
  <si>
    <t>Eagle Eye - 5</t>
  </si>
  <si>
    <t>Fleet Foot - 4</t>
  </si>
  <si>
    <t>Fire wilt - 15</t>
  </si>
  <si>
    <t>Fillip - 9</t>
  </si>
  <si>
    <t>Critical Boost: Fury - 2</t>
  </si>
  <si>
    <t>Reactive Expert - 13</t>
  </si>
  <si>
    <t>Leeway - 4</t>
  </si>
  <si>
    <t>Water Wilt - 5</t>
  </si>
  <si>
    <t>Wind Wilt - 5</t>
  </si>
  <si>
    <t>Fog Fall - 4</t>
  </si>
  <si>
    <t>Leeway - 3</t>
  </si>
  <si>
    <t>Kaleidoscope - 17</t>
  </si>
  <si>
    <t>Fatal Foray - 10</t>
  </si>
  <si>
    <t>Karakuri Coordination: Fury - 4</t>
  </si>
  <si>
    <t>Strong Arm: Spirit - 4</t>
  </si>
  <si>
    <t>Surprise Attack - 50</t>
  </si>
  <si>
    <t>Fusion Stalwart - 10</t>
  </si>
  <si>
    <t>Earth Wilt - 15</t>
  </si>
  <si>
    <t>One Stroke: Fury - 18</t>
  </si>
  <si>
    <t>Critical Boost: Fury - 4</t>
  </si>
  <si>
    <t>Fog Fall - 6</t>
  </si>
  <si>
    <t>Strong Arm: Protection - 38</t>
  </si>
  <si>
    <t>Critical Master - 3</t>
  </si>
  <si>
    <t>Bare Thread - 8</t>
  </si>
  <si>
    <t>Wood Wilt - 5</t>
  </si>
  <si>
    <t>Final Blow - 8</t>
  </si>
  <si>
    <t>Bare Thread - 12</t>
  </si>
  <si>
    <t>Karakuri Coordination: Fury - 6</t>
  </si>
  <si>
    <t>Speed Swallow - 17</t>
  </si>
  <si>
    <t>Tigers Den -  5</t>
  </si>
  <si>
    <t>Wind Wilt - 15</t>
  </si>
  <si>
    <t>Destruction Art - 15</t>
  </si>
  <si>
    <t>Strong Arm: Spirit - 6</t>
  </si>
  <si>
    <t>Hover - 25</t>
  </si>
  <si>
    <t>Reutilization - 10</t>
  </si>
  <si>
    <t>Spirited Ward - 13</t>
  </si>
  <si>
    <t>Spirited Ward - 19</t>
  </si>
  <si>
    <t>Wood Wilt -15</t>
  </si>
  <si>
    <t>Fillip - 6</t>
  </si>
  <si>
    <t>Reutilization - 15</t>
  </si>
  <si>
    <t>Earth Wilt - 5</t>
  </si>
  <si>
    <t>Value</t>
  </si>
  <si>
    <t>Row Labels</t>
  </si>
  <si>
    <t>Grand Total</t>
  </si>
  <si>
    <t>Sum of Value</t>
  </si>
  <si>
    <t/>
  </si>
  <si>
    <t>Flag</t>
  </si>
  <si>
    <t>Int</t>
  </si>
  <si>
    <t>Percent</t>
  </si>
  <si>
    <t>NA</t>
  </si>
  <si>
    <t xml:space="preserve">                                                                </t>
  </si>
  <si>
    <t>Follow Through</t>
  </si>
  <si>
    <t>#VALUE!</t>
  </si>
  <si>
    <t>Buff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</si>
</sst>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b/>
      <sz val="10"/>
      <color rgb="FF000000"/>
      <name val="Arial Unicode MS"/>
    </font>
    <font>
      <b/>
      <sz val="10"/>
      <color theme="0"/>
      <name val="Arial Unicode MS"/>
    </font>
    <font>
      <b/>
      <sz val="20"/>
      <color rgb="FF000000"/>
      <name val="Calibri"/>
      <family val="2"/>
    </font>
    <font>
      <sz val="14"/>
      <color theme="1"/>
      <name val="Calibri"/>
      <family val="2"/>
      <scheme val="minor"/>
    </font>
    <font>
      <sz val="14"/>
      <color theme="0" tint="-4.9989318521683403E-2"/>
      <name val="Calibri"/>
      <family val="2"/>
      <scheme val="minor"/>
    </font>
    <font>
      <sz val="8"/>
      <name val="Segoe UI"/>
      <family val="2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44">
    <xf numFmtId="0" fontId="0" fillId="0" borderId="0" xfId="0"/>
    <xf numFmtId="0" fontId="0" fillId="2" borderId="0" xfId="0" applyFill="1"/>
    <xf numFmtId="0" fontId="0" fillId="2" borderId="0" xfId="0" applyFill="1" applyAlignment="1">
      <alignment horizontal="center"/>
    </xf>
    <xf numFmtId="0" fontId="5" fillId="2" borderId="0" xfId="0" applyFont="1" applyFill="1"/>
    <xf numFmtId="0" fontId="5" fillId="0" borderId="0" xfId="0" applyFont="1"/>
    <xf numFmtId="0" fontId="5" fillId="2" borderId="0" xfId="0" applyFont="1" applyFill="1" applyAlignment="1">
      <alignment horizontal="center"/>
    </xf>
    <xf numFmtId="0" fontId="0" fillId="0" borderId="0" xfId="0" applyAlignment="1">
      <alignment horizontal="center" vertical="center"/>
    </xf>
    <xf numFmtId="9" fontId="0" fillId="2" borderId="0" xfId="1" applyFont="1" applyFill="1"/>
    <xf numFmtId="9" fontId="5" fillId="2" borderId="0" xfId="1" applyFont="1" applyFill="1"/>
    <xf numFmtId="9" fontId="5" fillId="2" borderId="0" xfId="1" applyFont="1" applyFill="1" applyAlignment="1"/>
    <xf numFmtId="9" fontId="5" fillId="2" borderId="0" xfId="1" applyFont="1" applyFill="1" applyBorder="1" applyAlignment="1">
      <alignment horizontal="center"/>
    </xf>
    <xf numFmtId="9" fontId="5" fillId="2" borderId="0" xfId="1" applyFont="1" applyFill="1" applyBorder="1" applyAlignment="1"/>
    <xf numFmtId="0" fontId="6" fillId="0" borderId="0" xfId="1" applyNumberFormat="1" applyFont="1"/>
    <xf numFmtId="10" fontId="0" fillId="0" borderId="0" xfId="0" applyNumberFormat="1"/>
    <xf numFmtId="0" fontId="5" fillId="2" borderId="0" xfId="1" applyNumberFormat="1" applyFont="1" applyFill="1"/>
    <xf numFmtId="2" fontId="5" fillId="2" borderId="0" xfId="1" applyNumberFormat="1" applyFont="1" applyFill="1" applyBorder="1" applyAlignment="1">
      <alignment horizontal="center"/>
    </xf>
    <xf numFmtId="0" fontId="0" fillId="0" borderId="0" xfId="0" pivotButton="1"/>
    <xf numFmtId="2" fontId="5" fillId="2" borderId="0" xfId="1" applyNumberFormat="1" applyFont="1" applyFill="1"/>
    <xf numFmtId="0" fontId="3" fillId="0" borderId="0" xfId="0" applyFont="1"/>
    <xf numFmtId="10" fontId="3" fillId="0" borderId="0" xfId="0" applyNumberFormat="1" applyFont="1"/>
    <xf numFmtId="0" fontId="7" fillId="0" borderId="0" xfId="1" applyNumberFormat="1" applyFont="1"/>
    <xf numFmtId="2" fontId="3" fillId="0" borderId="0" xfId="0" applyNumberFormat="1" applyFont="1"/>
    <xf numFmtId="9" fontId="3" fillId="0" borderId="0" xfId="1" applyFont="1"/>
    <xf numFmtId="2" fontId="3" fillId="0" borderId="0" xfId="1" applyNumberFormat="1" applyFont="1"/>
    <xf numFmtId="1" fontId="0" fillId="0" borderId="0" xfId="0" applyNumberFormat="1"/>
    <xf numFmtId="1" fontId="0" fillId="0" borderId="0" xfId="0" applyNumberFormat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9" fontId="0" fillId="3" borderId="1" xfId="1" applyFont="1" applyFill="1" applyBorder="1" applyAlignment="1"/>
    <xf numFmtId="0" fontId="0" fillId="3" borderId="2" xfId="0" applyFill="1" applyBorder="1"/>
    <xf numFmtId="0" fontId="0" fillId="3" borderId="1" xfId="0" applyFill="1" applyBorder="1"/>
    <xf numFmtId="0" fontId="0" fillId="3" borderId="1" xfId="0" applyFill="1" applyBorder="1" applyAlignment="1">
      <alignment vertical="center"/>
    </xf>
    <xf numFmtId="0" fontId="2" fillId="3" borderId="2" xfId="0" applyFont="1" applyFill="1" applyBorder="1" applyAlignment="1">
      <alignment vertical="center"/>
    </xf>
    <xf numFmtId="0" fontId="2" fillId="3" borderId="1" xfId="0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center" vertical="center"/>
    </xf>
    <xf numFmtId="0" fontId="4" fillId="4" borderId="7" xfId="0" applyFont="1" applyFill="1" applyBorder="1" applyAlignment="1">
      <alignment horizontal="center" vertical="center"/>
    </xf>
    <xf numFmtId="0" fontId="4" fillId="4" borderId="5" xfId="0" applyFont="1" applyFill="1" applyBorder="1" applyAlignment="1">
      <alignment horizontal="center" vertical="center"/>
    </xf>
    <xf numFmtId="0" fontId="4" fillId="4" borderId="4" xfId="0" applyFont="1" applyFill="1" applyBorder="1" applyAlignment="1">
      <alignment horizontal="center" vertical="center"/>
    </xf>
    <xf numFmtId="0" fontId="4" fillId="4" borderId="8" xfId="0" applyFont="1" applyFill="1" applyBorder="1" applyAlignment="1">
      <alignment horizontal="center" vertical="center"/>
    </xf>
    <xf numFmtId="0" fontId="4" fillId="4" borderId="6" xfId="0" applyFont="1" applyFill="1" applyBorder="1" applyAlignment="1">
      <alignment horizontal="center" vertical="center"/>
    </xf>
    <xf numFmtId="0" fontId="0" fillId="0" borderId="0" xfId="0" applyNumberFormat="1"/>
    <xf numFmtId="0" fontId="12" fillId="0" borderId="0" xfId="0" applyFont="1"/>
  </cellXfs>
  <cellStyles count="2">
    <cellStyle name="Normal" xfId="0" builtinId="0"/>
    <cellStyle name="Percent" xfId="1" builtinId="5"/>
  </cellStyles>
  <dxfs count="16"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fmlaLink="$B$11" lockText="1" noThreeD="1"/>
</file>

<file path=xl/ctrlProps/ctrlProp2.xml><?xml version="1.0" encoding="utf-8"?>
<formControlPr xmlns="http://schemas.microsoft.com/office/spreadsheetml/2009/9/main" objectType="CheckBox" fmlaLink="$B$12" lockText="1" noThreeD="1"/>
</file>

<file path=xl/ctrlProps/ctrlProp3.xml><?xml version="1.0" encoding="utf-8"?>
<formControlPr xmlns="http://schemas.microsoft.com/office/spreadsheetml/2009/9/main" objectType="CheckBox" fmlaLink="$F$11" lockText="1" noThreeD="1"/>
</file>

<file path=xl/ctrlProps/ctrlProp4.xml><?xml version="1.0" encoding="utf-8"?>
<formControlPr xmlns="http://schemas.microsoft.com/office/spreadsheetml/2009/9/main" objectType="CheckBox" fmlaLink="$F$12" lockText="1" noThreeD="1"/>
</file>

<file path=xl/ctrlProps/ctrlProp5.xml><?xml version="1.0" encoding="utf-8"?>
<formControlPr xmlns="http://schemas.microsoft.com/office/spreadsheetml/2009/9/main" objectType="CheckBox" fmlaLink="$J$11" lockText="1" noThreeD="1"/>
</file>

<file path=xl/ctrlProps/ctrlProp6.xml><?xml version="1.0" encoding="utf-8"?>
<formControlPr xmlns="http://schemas.microsoft.com/office/spreadsheetml/2009/9/main" objectType="CheckBox" fmlaLink="$J$12" lockText="1" noThreeD="1"/>
</file>

<file path=xl/ctrlProps/ctrlProp7.xml><?xml version="1.0" encoding="utf-8"?>
<formControlPr xmlns="http://schemas.microsoft.com/office/spreadsheetml/2009/9/main" objectType="CheckBox" fmlaLink="$N$11" lockText="1" noThreeD="1"/>
</file>

<file path=xl/ctrlProps/ctrlProp8.xml><?xml version="1.0" encoding="utf-8"?>
<formControlPr xmlns="http://schemas.microsoft.com/office/spreadsheetml/2009/9/main" objectType="CheckBox" fmlaLink="$W$11" lockText="1" noThreeD="1"/>
</file>

<file path=xl/ctrlProps/ctrlProp9.xml><?xml version="1.0" encoding="utf-8"?>
<formControlPr xmlns="http://schemas.microsoft.com/office/spreadsheetml/2009/9/main" objectType="CheckBox" fmlaLink="$W$12" lockText="1" noThreeD="1"/>
</file>

<file path=xl/ctrlProps/ctrlProp10.xml><?xml version="1.0" encoding="utf-8"?>
<formControlPr xmlns="http://schemas.microsoft.com/office/spreadsheetml/2009/9/main" objectType="CheckBox" fmlaLink="$AD$11" lockText="1" noThreeD="1"/>
</file>

<file path=xl/ctrlProps/ctrlProp11.xml><?xml version="1.0" encoding="utf-8"?>
<formControlPr xmlns="http://schemas.microsoft.com/office/spreadsheetml/2009/9/main" objectType="CheckBox" fmlaLink="$AD$12" lockText="1" noThreeD="1"/>
</file>

<file path=xl/ctrlProps/ctrlProp12.xml><?xml version="1.0" encoding="utf-8"?>
<formControlPr xmlns="http://schemas.microsoft.com/office/spreadsheetml/2009/9/main" objectType="CheckBox" fmlaLink="$Q$11" lockText="1" noThreeD="1"/>
</file>

<file path=xl/ctrlProps/ctrlProp13.xml><?xml version="1.0" encoding="utf-8"?>
<formControlPr xmlns="http://schemas.microsoft.com/office/spreadsheetml/2009/9/main" objectType="CheckBox" fmlaLink="$T$8" lockText="1" noThreeD="1"/>
</file>

<file path=xl/ctrlProps/ctrlProp14.xml><?xml version="1.0" encoding="utf-8"?>
<formControlPr xmlns="http://schemas.microsoft.com/office/spreadsheetml/2009/9/main" objectType="CheckBox" fmlaLink="$W$8" lockText="1" noThreeD="1"/>
</file>

<file path=xl/ctrlProps/ctrlProp15.xml><?xml version="1.0" encoding="utf-8"?>
<formControlPr xmlns="http://schemas.microsoft.com/office/spreadsheetml/2009/9/main" objectType="CheckBox" fmlaLink="$Z$11" lockText="1" noThreeD="1"/>
</file>

<file path=xl/ctrlProps/ctrlProp16.xml><?xml version="1.0" encoding="utf-8"?>
<formControlPr xmlns="http://schemas.microsoft.com/office/spreadsheetml/2009/9/main" objectType="CheckBox" fmlaLink="$Q$14" lockText="1" noThreeD="1"/>
</file>

<file path=xl/ctrlProps/ctrlProp17.xml><?xml version="1.0" encoding="utf-8"?>
<formControlPr xmlns="http://schemas.microsoft.com/office/spreadsheetml/2009/9/main" objectType="CheckBox" fmlaLink="$F$14" lockText="1" noThreeD="1"/>
</file>

<file path=xl/ctrlProps/ctrlProp18.xml><?xml version="1.0" encoding="utf-8"?>
<formControlPr xmlns="http://schemas.microsoft.com/office/spreadsheetml/2009/9/main" objectType="CheckBox" fmlaLink="$B$17" lockText="1" noThreeD="1"/>
</file>

<file path=xl/ctrlProps/ctrlProp19.xml><?xml version="1.0" encoding="utf-8"?>
<formControlPr xmlns="http://schemas.microsoft.com/office/spreadsheetml/2009/9/main" objectType="CheckBox" fmlaLink="$F$17" lockText="1" noThreeD="1"/>
</file>

<file path=xl/ctrlProps/ctrlProp20.xml><?xml version="1.0" encoding="utf-8"?>
<formControlPr xmlns="http://schemas.microsoft.com/office/spreadsheetml/2009/9/main" objectType="CheckBox" fmlaLink="$J$17" lockText="1" noThreeD="1"/>
</file>

<file path=xl/ctrlProps/ctrlProp21.xml><?xml version="1.0" encoding="utf-8"?>
<formControlPr xmlns="http://schemas.microsoft.com/office/spreadsheetml/2009/9/main" objectType="CheckBox" fmlaLink="$D$23" lockText="1" noThreeD="1"/>
</file>

<file path=xl/ctrlProps/ctrlProp22.xml><?xml version="1.0" encoding="utf-8"?>
<formControlPr xmlns="http://schemas.microsoft.com/office/spreadsheetml/2009/9/main" objectType="CheckBox" fmlaLink="$B$26" lockText="1" noThreeD="1"/>
</file>

<file path=xl/ctrlProps/ctrlProp23.xml><?xml version="1.0" encoding="utf-8"?>
<formControlPr xmlns="http://schemas.microsoft.com/office/spreadsheetml/2009/9/main" objectType="CheckBox" fmlaLink="$B$41" lockText="1" noThreeD="1"/>
</file>

<file path=xl/ctrlProps/ctrlProp24.xml><?xml version="1.0" encoding="utf-8"?>
<formControlPr xmlns="http://schemas.microsoft.com/office/spreadsheetml/2009/9/main" objectType="CheckBox" fmlaLink="$J$26" lockText="1" noThreeD="1"/>
</file>

<file path=xl/ctrlProps/ctrlProp25.xml><?xml version="1.0" encoding="utf-8"?>
<formControlPr xmlns="http://schemas.microsoft.com/office/spreadsheetml/2009/9/main" objectType="CheckBox" fmlaLink="$F$26" lockText="1" noThreeD="1"/>
</file>

<file path=xl/ctrlProps/ctrlProp26.xml><?xml version="1.0" encoding="utf-8"?>
<formControlPr xmlns="http://schemas.microsoft.com/office/spreadsheetml/2009/9/main" objectType="CheckBox" fmlaLink="$F$29" lockText="1" noThreeD="1"/>
</file>

<file path=xl/ctrlProps/ctrlProp27.xml><?xml version="1.0" encoding="utf-8"?>
<formControlPr xmlns="http://schemas.microsoft.com/office/spreadsheetml/2009/9/main" objectType="CheckBox" fmlaLink="$F$35" lockText="1" noThreeD="1"/>
</file>

<file path=xl/ctrlProps/ctrlProp28.xml><?xml version="1.0" encoding="utf-8"?>
<formControlPr xmlns="http://schemas.microsoft.com/office/spreadsheetml/2009/9/main" objectType="CheckBox" fmlaLink="$D$38" lockText="1" noThreeD="1"/>
</file>

<file path=xl/ctrlProps/ctrlProp29.xml><?xml version="1.0" encoding="utf-8"?>
<formControlPr xmlns="http://schemas.microsoft.com/office/spreadsheetml/2009/9/main" objectType="CheckBox" fmlaLink="$D$41" lockText="1" noThreeD="1"/>
</file>

<file path=xl/ctrlProps/ctrlProp30.xml><?xml version="1.0" encoding="utf-8"?>
<formControlPr xmlns="http://schemas.microsoft.com/office/spreadsheetml/2009/9/main" objectType="CheckBox" fmlaLink="$J$35" lockText="1" noThreeD="1"/>
</file>

<file path=xl/ctrlProps/ctrlProp31.xml><?xml version="1.0" encoding="utf-8"?>
<formControlPr xmlns="http://schemas.microsoft.com/office/spreadsheetml/2009/9/main" objectType="CheckBox" fmlaLink="$N$14" lockText="1" noThreeD="1"/>
</file>

<file path=xl/ctrlProps/ctrlProp32.xml><?xml version="1.0" encoding="utf-8"?>
<formControlPr xmlns="http://schemas.microsoft.com/office/spreadsheetml/2009/9/main" objectType="CheckBox" fmlaLink="$N$17" lockText="1" noThreeD="1"/>
</file>

<file path=xl/ctrlProps/ctrlProp33.xml><?xml version="1.0" encoding="utf-8"?>
<formControlPr xmlns="http://schemas.microsoft.com/office/spreadsheetml/2009/9/main" objectType="CheckBox" fmlaLink="$Q$17" lockText="1" noThreeD="1"/>
</file>

<file path=xl/ctrlProps/ctrlProp34.xml><?xml version="1.0" encoding="utf-8"?>
<formControlPr xmlns="http://schemas.microsoft.com/office/spreadsheetml/2009/9/main" objectType="CheckBox" fmlaLink="$N$35" lockText="1" noThreeD="1"/>
</file>

<file path=xl/ctrlProps/ctrlProp35.xml><?xml version="1.0" encoding="utf-8"?>
<formControlPr xmlns="http://schemas.microsoft.com/office/spreadsheetml/2009/9/main" objectType="CheckBox" fmlaLink="$Q$26" lockText="1" noThreeD="1"/>
</file>

<file path=xl/ctrlProps/ctrlProp36.xml><?xml version="1.0" encoding="utf-8"?>
<formControlPr xmlns="http://schemas.microsoft.com/office/spreadsheetml/2009/9/main" objectType="CheckBox" fmlaLink="$Q$29" lockText="1" noThreeD="1"/>
</file>

<file path=xl/ctrlProps/ctrlProp37.xml><?xml version="1.0" encoding="utf-8"?>
<formControlPr xmlns="http://schemas.microsoft.com/office/spreadsheetml/2009/9/main" objectType="CheckBox" fmlaLink="$Q$32" lockText="1" noThreeD="1"/>
</file>

<file path=xl/ctrlProps/ctrlProp38.xml><?xml version="1.0" encoding="utf-8"?>
<formControlPr xmlns="http://schemas.microsoft.com/office/spreadsheetml/2009/9/main" objectType="CheckBox" fmlaLink="$Q$35" lockText="1" noThreeD="1"/>
</file>

<file path=xl/ctrlProps/ctrlProp39.xml><?xml version="1.0" encoding="utf-8"?>
<formControlPr xmlns="http://schemas.microsoft.com/office/spreadsheetml/2009/9/main" objectType="CheckBox" fmlaLink="$T$23" lockText="1" noThreeD="1"/>
</file>

<file path=xl/ctrlProps/ctrlProp40.xml><?xml version="1.0" encoding="utf-8"?>
<formControlPr xmlns="http://schemas.microsoft.com/office/spreadsheetml/2009/9/main" objectType="CheckBox" fmlaLink="$L$23" lockText="1" noThreeD="1"/>
</file>

<file path=xl/ctrlProps/ctrlProp41.xml><?xml version="1.0" encoding="utf-8"?>
<formControlPr xmlns="http://schemas.microsoft.com/office/spreadsheetml/2009/9/main" objectType="CheckBox" fmlaLink="$W$14" lockText="1" noThreeD="1"/>
</file>

<file path=xl/ctrlProps/ctrlProp42.xml><?xml version="1.0" encoding="utf-8"?>
<formControlPr xmlns="http://schemas.microsoft.com/office/spreadsheetml/2009/9/main" objectType="CheckBox" fmlaLink="$W$17" lockText="1" noThreeD="1"/>
</file>

<file path=xl/ctrlProps/ctrlProp43.xml><?xml version="1.0" encoding="utf-8"?>
<formControlPr xmlns="http://schemas.microsoft.com/office/spreadsheetml/2009/9/main" objectType="CheckBox" fmlaLink="$W$26" lockText="1" noThreeD="1"/>
</file>

<file path=xl/ctrlProps/ctrlProp44.xml><?xml version="1.0" encoding="utf-8"?>
<formControlPr xmlns="http://schemas.microsoft.com/office/spreadsheetml/2009/9/main" objectType="CheckBox" fmlaLink="$W$29" lockText="1" noThreeD="1"/>
</file>

<file path=xl/ctrlProps/ctrlProp45.xml><?xml version="1.0" encoding="utf-8"?>
<formControlPr xmlns="http://schemas.microsoft.com/office/spreadsheetml/2009/9/main" objectType="CheckBox" fmlaLink="$W$32" lockText="1" noThreeD="1"/>
</file>

<file path=xl/ctrlProps/ctrlProp46.xml><?xml version="1.0" encoding="utf-8"?>
<formControlPr xmlns="http://schemas.microsoft.com/office/spreadsheetml/2009/9/main" objectType="CheckBox" fmlaLink="$W$35" lockText="1" noThreeD="1"/>
</file>

<file path=xl/ctrlProps/ctrlProp47.xml><?xml version="1.0" encoding="utf-8"?>
<formControlPr xmlns="http://schemas.microsoft.com/office/spreadsheetml/2009/9/main" objectType="CheckBox" fmlaLink="$Z$14" lockText="1" noThreeD="1"/>
</file>

<file path=xl/ctrlProps/ctrlProp48.xml><?xml version="1.0" encoding="utf-8"?>
<formControlPr xmlns="http://schemas.microsoft.com/office/spreadsheetml/2009/9/main" objectType="CheckBox" fmlaLink="$Z$26" lockText="1" noThreeD="1"/>
</file>

<file path=xl/ctrlProps/ctrlProp49.xml><?xml version="1.0" encoding="utf-8"?>
<formControlPr xmlns="http://schemas.microsoft.com/office/spreadsheetml/2009/9/main" objectType="CheckBox" fmlaLink="$Z$29" lockText="1" noThreeD="1"/>
</file>

<file path=xl/ctrlProps/ctrlProp50.xml><?xml version="1.0" encoding="utf-8"?>
<formControlPr xmlns="http://schemas.microsoft.com/office/spreadsheetml/2009/9/main" objectType="CheckBox" fmlaLink="$Z$32" lockText="1" noThreeD="1"/>
</file>

<file path=xl/ctrlProps/ctrlProp51.xml><?xml version="1.0" encoding="utf-8"?>
<formControlPr xmlns="http://schemas.microsoft.com/office/spreadsheetml/2009/9/main" objectType="CheckBox" fmlaLink="$Z$35" lockText="1" noThreeD="1"/>
</file>

<file path=xl/ctrlProps/ctrlProp52.xml><?xml version="1.0" encoding="utf-8"?>
<formControlPr xmlns="http://schemas.microsoft.com/office/spreadsheetml/2009/9/main" objectType="CheckBox" fmlaLink="$AB$23" lockText="1" noThreeD="1"/>
</file>

<file path=xl/ctrlProps/ctrlProp53.xml><?xml version="1.0" encoding="utf-8"?>
<formControlPr xmlns="http://schemas.microsoft.com/office/spreadsheetml/2009/9/main" objectType="CheckBox" fmlaLink="$AD$14" lockText="1" noThreeD="1"/>
</file>

<file path=xl/ctrlProps/ctrlProp54.xml><?xml version="1.0" encoding="utf-8"?>
<formControlPr xmlns="http://schemas.microsoft.com/office/spreadsheetml/2009/9/main" objectType="CheckBox" fmlaLink="$AD$17" lockText="1" noThreeD="1"/>
</file>

<file path=xl/ctrlProps/ctrlProp55.xml><?xml version="1.0" encoding="utf-8"?>
<formControlPr xmlns="http://schemas.microsoft.com/office/spreadsheetml/2009/9/main" objectType="CheckBox" fmlaLink="$AD$26" lockText="1" noThreeD="1"/>
</file>

<file path=xl/ctrlProps/ctrlProp56.xml><?xml version="1.0" encoding="utf-8"?>
<formControlPr xmlns="http://schemas.microsoft.com/office/spreadsheetml/2009/9/main" objectType="CheckBox" fmlaLink="$AD$32" lockText="1" noThreeD="1"/>
</file>

<file path=xl/ctrlProps/ctrlProp57.xml><?xml version="1.0" encoding="utf-8"?>
<formControlPr xmlns="http://schemas.microsoft.com/office/spreadsheetml/2009/9/main" objectType="CheckBox" fmlaLink="$AD$35" lockText="1" noThreeD="1"/>
</file>

<file path=xl/ctrlProps/ctrlProp58.xml><?xml version="1.0" encoding="utf-8"?>
<formControlPr xmlns="http://schemas.microsoft.com/office/spreadsheetml/2009/9/main" objectType="CheckBox" fmlaLink="$AH$32" lockText="1" noThreeD="1"/>
</file>

<file path=xl/ctrlProps/ctrlProp59.xml><?xml version="1.0" encoding="utf-8"?>
<formControlPr xmlns="http://schemas.microsoft.com/office/spreadsheetml/2009/9/main" objectType="CheckBox" fmlaLink="$AH$26" lockText="1" noThreeD="1"/>
</file>

<file path=xl/ctrlProps/ctrlProp60.xml><?xml version="1.0" encoding="utf-8"?>
<formControlPr xmlns="http://schemas.microsoft.com/office/spreadsheetml/2009/9/main" objectType="CheckBox" fmlaLink="$AH$11" lockText="1" noThreeD="1"/>
</file>

<file path=xl/ctrlProps/ctrlProp61.xml><?xml version="1.0" encoding="utf-8"?>
<formControlPr xmlns="http://schemas.microsoft.com/office/spreadsheetml/2009/9/main" objectType="CheckBox" fmlaLink="$AJ$23" lockText="1" noThreeD="1"/>
</file>

<file path=xl/ctrlProps/ctrlProp62.xml><?xml version="1.0" encoding="utf-8"?>
<formControlPr xmlns="http://schemas.microsoft.com/office/spreadsheetml/2009/9/main" objectType="CheckBox" fmlaLink="$AL$11" lockText="1" noThreeD="1"/>
</file>

<file path=xl/ctrlProps/ctrlProp63.xml><?xml version="1.0" encoding="utf-8"?>
<formControlPr xmlns="http://schemas.microsoft.com/office/spreadsheetml/2009/9/main" objectType="CheckBox" fmlaLink="$AL$26" lockText="1" noThreeD="1"/>
</file>

<file path=xl/ctrlProps/ctrlProp64.xml><?xml version="1.0" encoding="utf-8"?>
<formControlPr xmlns="http://schemas.microsoft.com/office/spreadsheetml/2009/9/main" objectType="CheckBox" fmlaLink="$AL$29" lockText="1" noThreeD="1"/>
</file>

<file path=xl/ctrlProps/ctrlProp65.xml><?xml version="1.0" encoding="utf-8"?>
<formControlPr xmlns="http://schemas.microsoft.com/office/spreadsheetml/2009/9/main" objectType="CheckBox" fmlaLink="$AJ$38" lockText="1" noThreeD="1"/>
</file>

<file path=xl/ctrlProps/ctrlProp66.xml><?xml version="1.0" encoding="utf-8"?>
<formControlPr xmlns="http://schemas.microsoft.com/office/spreadsheetml/2009/9/main" objectType="CheckBox" fmlaLink="$T$38" lockText="1" noThreeD="1"/>
</file>

<file path=xl/ctrlProps/ctrlProp67.xml><?xml version="1.0" encoding="utf-8"?>
<formControlPr xmlns="http://schemas.microsoft.com/office/spreadsheetml/2009/9/main" objectType="CheckBox" fmlaLink="$T$41" lockText="1" noThreeD="1"/>
</file>

<file path=xl/ctrlProps/ctrlProp68.xml><?xml version="1.0" encoding="utf-8"?>
<formControlPr xmlns="http://schemas.microsoft.com/office/spreadsheetml/2009/9/main" objectType="CheckBox" fmlaLink="$Q$15" lockText="1" noThreeD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CheckBox" fmlaLink="$F$32" lockText="1" noThreeD="1"/>
</file>

<file path=xl/ctrlProps/ctrlProp71.xml><?xml version="1.0" encoding="utf-8"?>
<formControlPr xmlns="http://schemas.microsoft.com/office/spreadsheetml/2009/9/main" objectType="CheckBox" checked="Checked" fmlaLink="$B$35" lockText="1" noThreeD="1"/>
</file>

<file path=xl/ctrlProps/ctrlProp72.xml><?xml version="1.0" encoding="utf-8"?>
<formControlPr xmlns="http://schemas.microsoft.com/office/spreadsheetml/2009/9/main" objectType="CheckBox" checked="Checked" fmlaLink="$J$45" lockText="1" noThreeD="1"/>
</file>

<file path=xl/ctrlProps/ctrlProp73.xml><?xml version="1.0" encoding="utf-8"?>
<formControlPr xmlns="http://schemas.microsoft.com/office/spreadsheetml/2009/9/main" objectType="CheckBox" checked="Checked" fmlaLink="$J$29" lockText="1" noThreeD="1"/>
</file>

<file path=xl/ctrlProps/ctrlProp74.xml><?xml version="1.0" encoding="utf-8"?>
<formControlPr xmlns="http://schemas.microsoft.com/office/spreadsheetml/2009/9/main" objectType="CheckBox" checked="Checked" fmlaLink="$J$32" lockText="1" noThreeD="1"/>
</file>

<file path=xl/ctrlProps/ctrlProp75.xml><?xml version="1.0" encoding="utf-8"?>
<formControlPr xmlns="http://schemas.microsoft.com/office/spreadsheetml/2009/9/main" objectType="CheckBox" checked="Checked" fmlaLink="$N$26" lockText="1" noThreeD="1"/>
</file>

<file path=xl/ctrlProps/ctrlProp76.xml><?xml version="1.0" encoding="utf-8"?>
<formControlPr xmlns="http://schemas.microsoft.com/office/spreadsheetml/2009/9/main" objectType="CheckBox" checked="Checked" fmlaLink="$N$29" lockText="1" noThreeD="1"/>
</file>

<file path=xl/ctrlProps/ctrlProp77.xml><?xml version="1.0" encoding="utf-8"?>
<formControlPr xmlns="http://schemas.microsoft.com/office/spreadsheetml/2009/9/main" objectType="CheckBox" fmlaLink="$Q$8" lockText="1" noThreeD="1"/>
</file>

<file path=xl/ctrlProps/ctrlProp78.xml><?xml version="1.0" encoding="utf-8"?>
<formControlPr xmlns="http://schemas.microsoft.com/office/spreadsheetml/2009/9/main" objectType="CheckBox" fmlaLink="$H$17" lockText="1" noThreeD="1"/>
</file>

<file path=xl/ctrlProps/ctrlProp79.xml><?xml version="1.0" encoding="utf-8"?>
<formControlPr xmlns="http://schemas.microsoft.com/office/spreadsheetml/2009/9/main" objectType="CheckBox" fmlaLink="$H$23" lockText="1" noThreeD="1"/>
</file>

<file path=xl/ctrlProps/ctrlProp80.xml><?xml version="1.0" encoding="utf-8"?>
<formControlPr xmlns="http://schemas.microsoft.com/office/spreadsheetml/2009/9/main" objectType="CheckBox" checked="Checked" fmlaLink="$Z$17" lockText="1" noThreeD="1"/>
</file>

<file path=xl/ctrlProps/ctrlProp81.xml><?xml version="1.0" encoding="utf-8"?>
<formControlPr xmlns="http://schemas.microsoft.com/office/spreadsheetml/2009/9/main" objectType="CheckBox" fmlaLink="$AF$17" lockText="1" noThreeD="1"/>
</file>

<file path=xl/ctrlProps/ctrlProp82.xml><?xml version="1.0" encoding="utf-8"?>
<formControlPr xmlns="http://schemas.microsoft.com/office/spreadsheetml/2009/9/main" objectType="CheckBox" fmlaLink="$AF$23" lockText="1" noThreeD="1"/>
</file>

<file path=xl/ctrlProps/ctrlProp83.xml><?xml version="1.0" encoding="utf-8"?>
<formControlPr xmlns="http://schemas.microsoft.com/office/spreadsheetml/2009/9/main" objectType="CheckBox" checked="Checked" fmlaLink="$L$38" lockText="1" noThreeD="1"/>
</file>

<file path=xl/ctrlProps/ctrlProp84.xml><?xml version="1.0" encoding="utf-8"?>
<formControlPr xmlns="http://schemas.microsoft.com/office/spreadsheetml/2009/9/main" objectType="CheckBox" checked="Checked" fmlaLink="$L$41" lockText="1" noThreeD="1"/>
</file>

<file path=xl/ctrlProps/ctrlProp85.xml><?xml version="1.0" encoding="utf-8"?>
<formControlPr xmlns="http://schemas.microsoft.com/office/spreadsheetml/2009/9/main" objectType="CheckBox" checked="Checked" fmlaLink="$AB$38" lockText="1" noThreeD="1"/>
</file>

<file path=xl/ctrlProps/ctrlProp86.xml><?xml version="1.0" encoding="utf-8"?>
<formControlPr xmlns="http://schemas.microsoft.com/office/spreadsheetml/2009/9/main" objectType="CheckBox" checked="Checked" fmlaLink="$AB$41" lockText="1" noThreeD="1"/>
</file>

<file path=xl/ctrlProps/ctrlProp87.xml><?xml version="1.0" encoding="utf-8"?>
<formControlPr xmlns="http://schemas.microsoft.com/office/spreadsheetml/2009/9/main" objectType="CheckBox" checked="Checked" fmlaLink="$AD$45" lockText="1" noThreeD="1"/>
</file>

<file path=xl/ctrlProps/ctrlProp88.xml><?xml version="1.0" encoding="utf-8"?>
<formControlPr xmlns="http://schemas.microsoft.com/office/spreadsheetml/2009/9/main" objectType="CheckBox" checked="Checked" fmlaLink="$AJ$41" lockText="1" noThreeD="1"/>
</file>

<file path=xl/ctrlProps/ctrlProp89.xml><?xml version="1.0" encoding="utf-8"?>
<formControlPr xmlns="http://schemas.microsoft.com/office/spreadsheetml/2009/9/main" objectType="CheckBox" checked="Checked" fmlaLink="$AL$32" lockText="1" noThreeD="1"/>
</file>

<file path=xl/ctrlProps/ctrlProp90.xml><?xml version="1.0" encoding="utf-8"?>
<formControlPr xmlns="http://schemas.microsoft.com/office/spreadsheetml/2009/9/main" objectType="CheckBox" checked="Checked" fmlaLink="$AL$35" lockText="1" noThreeD="1"/>
</file>

<file path=xl/ctrlProps/ctrlProp91.xml><?xml version="1.0" encoding="utf-8"?>
<formControlPr xmlns="http://schemas.microsoft.com/office/spreadsheetml/2009/9/main" objectType="CheckBox" checked="Checked" fmlaLink="$AH$35" lockText="1" noThreeD="1"/>
</file>

<file path=xl/ctrlProps/ctrlProp92.xml><?xml version="1.0" encoding="utf-8"?>
<formControlPr xmlns="http://schemas.microsoft.com/office/spreadsheetml/2009/9/main" objectType="CheckBox" checked="Checked" fmlaLink="$AH$17" lockText="1" noThreeD="1"/>
</file>

<file path=xl/ctrlProps/ctrlProp93.xml><?xml version="1.0" encoding="utf-8"?>
<formControlPr xmlns="http://schemas.microsoft.com/office/spreadsheetml/2009/9/main" objectType="CheckBox" checked="Checked" fmlaLink="$AL$14" lockText="1" noThreeD="1"/>
</file>

<file path=xl/ctrlProps/ctrlProp94.xml><?xml version="1.0" encoding="utf-8"?>
<formControlPr xmlns="http://schemas.microsoft.com/office/spreadsheetml/2009/9/main" objectType="CheckBox" checked="Checked" fmlaLink="$AL$17" lockText="1" noThreeD="1"/>
</file>

<file path=xl/ctrlProps/ctrlProp9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925286</xdr:colOff>
      <xdr:row>3</xdr:row>
      <xdr:rowOff>27215</xdr:rowOff>
    </xdr:from>
    <xdr:to>
      <xdr:col>20</xdr:col>
      <xdr:colOff>898072</xdr:colOff>
      <xdr:row>6</xdr:row>
      <xdr:rowOff>163286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 flipH="1">
          <a:off x="17825357" y="625929"/>
          <a:ext cx="2898322" cy="707571"/>
        </a:xfrm>
        <a:prstGeom prst="line">
          <a:avLst/>
        </a:prstGeom>
        <a:ln w="76200" cap="rnd">
          <a:solidFill>
            <a:srgbClr val="000000"/>
          </a:solidFill>
          <a:round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789215</xdr:colOff>
      <xdr:row>3</xdr:row>
      <xdr:rowOff>27215</xdr:rowOff>
    </xdr:from>
    <xdr:to>
      <xdr:col>8</xdr:col>
      <xdr:colOff>244929</xdr:colOff>
      <xdr:row>9</xdr:row>
      <xdr:rowOff>176892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CxnSpPr/>
      </xdr:nvCxnSpPr>
      <xdr:spPr>
        <a:xfrm flipV="1">
          <a:off x="6245679" y="625929"/>
          <a:ext cx="2190750" cy="1319892"/>
        </a:xfrm>
        <a:prstGeom prst="line">
          <a:avLst/>
        </a:prstGeom>
        <a:ln w="76200" cap="rnd">
          <a:solidFill>
            <a:srgbClr val="000000"/>
          </a:solidFill>
          <a:round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272143</xdr:colOff>
      <xdr:row>3</xdr:row>
      <xdr:rowOff>40822</xdr:rowOff>
    </xdr:from>
    <xdr:to>
      <xdr:col>10</xdr:col>
      <xdr:colOff>1129393</xdr:colOff>
      <xdr:row>9</xdr:row>
      <xdr:rowOff>176892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CxnSpPr/>
      </xdr:nvCxnSpPr>
      <xdr:spPr>
        <a:xfrm>
          <a:off x="8463643" y="639536"/>
          <a:ext cx="1809750" cy="1306285"/>
        </a:xfrm>
        <a:prstGeom prst="line">
          <a:avLst/>
        </a:prstGeom>
        <a:ln w="76200" cap="rnd">
          <a:solidFill>
            <a:srgbClr val="000000"/>
          </a:solidFill>
          <a:round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898072</xdr:colOff>
      <xdr:row>3</xdr:row>
      <xdr:rowOff>40822</xdr:rowOff>
    </xdr:from>
    <xdr:to>
      <xdr:col>23</xdr:col>
      <xdr:colOff>938892</xdr:colOff>
      <xdr:row>6</xdr:row>
      <xdr:rowOff>176893</xdr:rowOff>
    </xdr:to>
    <xdr:cxnSp macro="">
      <xdr:nvCxnSpPr>
        <xdr:cNvPr id="7" name="Straight Connector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CxnSpPr/>
      </xdr:nvCxnSpPr>
      <xdr:spPr>
        <a:xfrm>
          <a:off x="20723679" y="639536"/>
          <a:ext cx="2748642" cy="707571"/>
        </a:xfrm>
        <a:prstGeom prst="line">
          <a:avLst/>
        </a:prstGeom>
        <a:ln w="76200" cap="rnd">
          <a:solidFill>
            <a:srgbClr val="000000"/>
          </a:solidFill>
          <a:round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870857</xdr:colOff>
      <xdr:row>3</xdr:row>
      <xdr:rowOff>27215</xdr:rowOff>
    </xdr:from>
    <xdr:to>
      <xdr:col>8</xdr:col>
      <xdr:colOff>136071</xdr:colOff>
      <xdr:row>9</xdr:row>
      <xdr:rowOff>163285</xdr:rowOff>
    </xdr:to>
    <xdr:cxnSp macro="[0]!StraightConnector10_Click">
      <xdr:nvCxnSpPr>
        <xdr:cNvPr id="11" name="Straight Connector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CxnSpPr/>
      </xdr:nvCxnSpPr>
      <xdr:spPr>
        <a:xfrm flipH="1">
          <a:off x="1986643" y="625929"/>
          <a:ext cx="6340928" cy="1306285"/>
        </a:xfrm>
        <a:prstGeom prst="line">
          <a:avLst/>
        </a:prstGeom>
        <a:ln w="76200" cap="rnd">
          <a:solidFill>
            <a:srgbClr val="000000"/>
          </a:solidFill>
          <a:round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272143</xdr:colOff>
      <xdr:row>3</xdr:row>
      <xdr:rowOff>27215</xdr:rowOff>
    </xdr:from>
    <xdr:to>
      <xdr:col>13</xdr:col>
      <xdr:colOff>517072</xdr:colOff>
      <xdr:row>11</xdr:row>
      <xdr:rowOff>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CxnSpPr/>
      </xdr:nvCxnSpPr>
      <xdr:spPr>
        <a:xfrm>
          <a:off x="8463643" y="625929"/>
          <a:ext cx="5497286" cy="1537607"/>
        </a:xfrm>
        <a:prstGeom prst="line">
          <a:avLst/>
        </a:prstGeom>
        <a:ln w="76200" cap="rnd">
          <a:solidFill>
            <a:srgbClr val="000000"/>
          </a:solidFill>
          <a:round/>
          <a:headEnd type="none" w="med" len="med"/>
          <a:tailEnd type="non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27215</xdr:colOff>
      <xdr:row>11</xdr:row>
      <xdr:rowOff>27214</xdr:rowOff>
    </xdr:from>
    <xdr:to>
      <xdr:col>13</xdr:col>
      <xdr:colOff>476250</xdr:colOff>
      <xdr:row>17</xdr:row>
      <xdr:rowOff>0</xdr:rowOff>
    </xdr:to>
    <xdr:cxnSp macro="">
      <xdr:nvCxnSpPr>
        <xdr:cNvPr id="15" name="Straight Connector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CxnSpPr/>
      </xdr:nvCxnSpPr>
      <xdr:spPr>
        <a:xfrm>
          <a:off x="12355286" y="2190750"/>
          <a:ext cx="2680607" cy="1442357"/>
        </a:xfrm>
        <a:prstGeom prst="line">
          <a:avLst/>
        </a:prstGeom>
        <a:ln w="76200" cap="rnd">
          <a:solidFill>
            <a:srgbClr val="000000"/>
          </a:solidFill>
          <a:round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1006928</xdr:colOff>
      <xdr:row>15</xdr:row>
      <xdr:rowOff>13607</xdr:rowOff>
    </xdr:from>
    <xdr:to>
      <xdr:col>14</xdr:col>
      <xdr:colOff>1006928</xdr:colOff>
      <xdr:row>15</xdr:row>
      <xdr:rowOff>217714</xdr:rowOff>
    </xdr:to>
    <xdr:cxnSp macro="">
      <xdr:nvCxnSpPr>
        <xdr:cNvPr id="20" name="Straight Connector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CxnSpPr/>
      </xdr:nvCxnSpPr>
      <xdr:spPr>
        <a:xfrm>
          <a:off x="14981464" y="3156857"/>
          <a:ext cx="0" cy="204107"/>
        </a:xfrm>
        <a:prstGeom prst="line">
          <a:avLst/>
        </a:prstGeom>
        <a:ln w="76200" cap="rnd">
          <a:solidFill>
            <a:srgbClr val="000000"/>
          </a:solidFill>
          <a:round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898072</xdr:colOff>
      <xdr:row>15</xdr:row>
      <xdr:rowOff>13607</xdr:rowOff>
    </xdr:from>
    <xdr:to>
      <xdr:col>17</xdr:col>
      <xdr:colOff>903514</xdr:colOff>
      <xdr:row>15</xdr:row>
      <xdr:rowOff>223157</xdr:rowOff>
    </xdr:to>
    <xdr:cxnSp macro="">
      <xdr:nvCxnSpPr>
        <xdr:cNvPr id="21" name="Straight Connector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CxnSpPr/>
      </xdr:nvCxnSpPr>
      <xdr:spPr>
        <a:xfrm>
          <a:off x="17798143" y="3156857"/>
          <a:ext cx="5442" cy="209550"/>
        </a:xfrm>
        <a:prstGeom prst="line">
          <a:avLst/>
        </a:prstGeom>
        <a:ln w="76200" cap="rnd">
          <a:solidFill>
            <a:srgbClr val="000000"/>
          </a:solidFill>
          <a:round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898072</xdr:colOff>
      <xdr:row>12</xdr:row>
      <xdr:rowOff>13607</xdr:rowOff>
    </xdr:from>
    <xdr:to>
      <xdr:col>17</xdr:col>
      <xdr:colOff>898072</xdr:colOff>
      <xdr:row>12</xdr:row>
      <xdr:rowOff>231322</xdr:rowOff>
    </xdr:to>
    <xdr:cxnSp macro="">
      <xdr:nvCxnSpPr>
        <xdr:cNvPr id="22" name="Straight Connector 21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CxnSpPr/>
      </xdr:nvCxnSpPr>
      <xdr:spPr>
        <a:xfrm>
          <a:off x="17798143" y="2422071"/>
          <a:ext cx="0" cy="217715"/>
        </a:xfrm>
        <a:prstGeom prst="line">
          <a:avLst/>
        </a:prstGeom>
        <a:ln w="76200" cap="rnd">
          <a:solidFill>
            <a:srgbClr val="000000"/>
          </a:solidFill>
          <a:round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895350</xdr:colOff>
      <xdr:row>9</xdr:row>
      <xdr:rowOff>13607</xdr:rowOff>
    </xdr:from>
    <xdr:to>
      <xdr:col>17</xdr:col>
      <xdr:colOff>898072</xdr:colOff>
      <xdr:row>9</xdr:row>
      <xdr:rowOff>174170</xdr:rowOff>
    </xdr:to>
    <xdr:cxnSp macro="">
      <xdr:nvCxnSpPr>
        <xdr:cNvPr id="23" name="Straight Connector 22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CxnSpPr/>
      </xdr:nvCxnSpPr>
      <xdr:spPr>
        <a:xfrm flipH="1">
          <a:off x="17795421" y="1782536"/>
          <a:ext cx="2722" cy="160563"/>
        </a:xfrm>
        <a:prstGeom prst="line">
          <a:avLst/>
        </a:prstGeom>
        <a:ln w="76200" cap="rnd">
          <a:solidFill>
            <a:srgbClr val="000000"/>
          </a:solidFill>
          <a:round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938892</xdr:colOff>
      <xdr:row>9</xdr:row>
      <xdr:rowOff>27214</xdr:rowOff>
    </xdr:from>
    <xdr:to>
      <xdr:col>23</xdr:col>
      <xdr:colOff>938892</xdr:colOff>
      <xdr:row>9</xdr:row>
      <xdr:rowOff>190500</xdr:rowOff>
    </xdr:to>
    <xdr:cxnSp macro="">
      <xdr:nvCxnSpPr>
        <xdr:cNvPr id="24" name="Straight Connector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CxnSpPr/>
      </xdr:nvCxnSpPr>
      <xdr:spPr>
        <a:xfrm>
          <a:off x="23472321" y="1796143"/>
          <a:ext cx="0" cy="163286"/>
        </a:xfrm>
        <a:prstGeom prst="line">
          <a:avLst/>
        </a:prstGeom>
        <a:ln w="76200" cap="rnd">
          <a:solidFill>
            <a:srgbClr val="000000"/>
          </a:solidFill>
          <a:round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911678</xdr:colOff>
      <xdr:row>12</xdr:row>
      <xdr:rowOff>27215</xdr:rowOff>
    </xdr:from>
    <xdr:to>
      <xdr:col>23</xdr:col>
      <xdr:colOff>911678</xdr:colOff>
      <xdr:row>12</xdr:row>
      <xdr:rowOff>204107</xdr:rowOff>
    </xdr:to>
    <xdr:cxnSp macro="">
      <xdr:nvCxnSpPr>
        <xdr:cNvPr id="25" name="Straight Connector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CxnSpPr/>
      </xdr:nvCxnSpPr>
      <xdr:spPr>
        <a:xfrm>
          <a:off x="23445107" y="2435679"/>
          <a:ext cx="0" cy="176892"/>
        </a:xfrm>
        <a:prstGeom prst="line">
          <a:avLst/>
        </a:prstGeom>
        <a:ln w="76200" cap="rnd">
          <a:solidFill>
            <a:srgbClr val="000000"/>
          </a:solidFill>
          <a:round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898071</xdr:colOff>
      <xdr:row>15</xdr:row>
      <xdr:rowOff>27214</xdr:rowOff>
    </xdr:from>
    <xdr:to>
      <xdr:col>23</xdr:col>
      <xdr:colOff>898071</xdr:colOff>
      <xdr:row>15</xdr:row>
      <xdr:rowOff>217714</xdr:rowOff>
    </xdr:to>
    <xdr:cxnSp macro="">
      <xdr:nvCxnSpPr>
        <xdr:cNvPr id="26" name="Straight Connector 25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CxnSpPr/>
      </xdr:nvCxnSpPr>
      <xdr:spPr>
        <a:xfrm>
          <a:off x="23431500" y="3170464"/>
          <a:ext cx="0" cy="190500"/>
        </a:xfrm>
        <a:prstGeom prst="line">
          <a:avLst/>
        </a:prstGeom>
        <a:ln w="76200" cap="rnd">
          <a:solidFill>
            <a:srgbClr val="000000"/>
          </a:solidFill>
          <a:round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653143</xdr:colOff>
      <xdr:row>12</xdr:row>
      <xdr:rowOff>13607</xdr:rowOff>
    </xdr:from>
    <xdr:to>
      <xdr:col>26</xdr:col>
      <xdr:colOff>653143</xdr:colOff>
      <xdr:row>12</xdr:row>
      <xdr:rowOff>231322</xdr:rowOff>
    </xdr:to>
    <xdr:cxnSp macro="">
      <xdr:nvCxnSpPr>
        <xdr:cNvPr id="27" name="Straight Connector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CxnSpPr/>
      </xdr:nvCxnSpPr>
      <xdr:spPr>
        <a:xfrm>
          <a:off x="26112107" y="2422071"/>
          <a:ext cx="0" cy="217715"/>
        </a:xfrm>
        <a:prstGeom prst="line">
          <a:avLst/>
        </a:prstGeom>
        <a:ln w="76200" cap="rnd">
          <a:solidFill>
            <a:srgbClr val="000000"/>
          </a:solidFill>
          <a:round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677634</xdr:colOff>
      <xdr:row>15</xdr:row>
      <xdr:rowOff>40821</xdr:rowOff>
    </xdr:from>
    <xdr:to>
      <xdr:col>26</xdr:col>
      <xdr:colOff>680357</xdr:colOff>
      <xdr:row>15</xdr:row>
      <xdr:rowOff>242207</xdr:rowOff>
    </xdr:to>
    <xdr:cxnSp macro="">
      <xdr:nvCxnSpPr>
        <xdr:cNvPr id="28" name="Straight Connector 27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CxnSpPr/>
      </xdr:nvCxnSpPr>
      <xdr:spPr>
        <a:xfrm flipH="1">
          <a:off x="26136598" y="3184071"/>
          <a:ext cx="2723" cy="201386"/>
        </a:xfrm>
        <a:prstGeom prst="line">
          <a:avLst/>
        </a:prstGeom>
        <a:ln w="76200" cap="rnd">
          <a:solidFill>
            <a:srgbClr val="000000"/>
          </a:solidFill>
          <a:round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693964</xdr:colOff>
      <xdr:row>12</xdr:row>
      <xdr:rowOff>40822</xdr:rowOff>
    </xdr:from>
    <xdr:to>
      <xdr:col>30</xdr:col>
      <xdr:colOff>693964</xdr:colOff>
      <xdr:row>12</xdr:row>
      <xdr:rowOff>231322</xdr:rowOff>
    </xdr:to>
    <xdr:cxnSp macro="">
      <xdr:nvCxnSpPr>
        <xdr:cNvPr id="29" name="Straight Connector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CxnSpPr/>
      </xdr:nvCxnSpPr>
      <xdr:spPr>
        <a:xfrm>
          <a:off x="30085393" y="2449286"/>
          <a:ext cx="0" cy="190500"/>
        </a:xfrm>
        <a:prstGeom prst="line">
          <a:avLst/>
        </a:prstGeom>
        <a:ln w="76200" cap="rnd">
          <a:solidFill>
            <a:srgbClr val="000000"/>
          </a:solidFill>
          <a:round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707571</xdr:colOff>
      <xdr:row>15</xdr:row>
      <xdr:rowOff>40821</xdr:rowOff>
    </xdr:from>
    <xdr:to>
      <xdr:col>30</xdr:col>
      <xdr:colOff>707571</xdr:colOff>
      <xdr:row>15</xdr:row>
      <xdr:rowOff>231321</xdr:rowOff>
    </xdr:to>
    <xdr:cxnSp macro="">
      <xdr:nvCxnSpPr>
        <xdr:cNvPr id="30" name="Straight Connector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CxnSpPr/>
      </xdr:nvCxnSpPr>
      <xdr:spPr>
        <a:xfrm>
          <a:off x="30099000" y="3184071"/>
          <a:ext cx="0" cy="190500"/>
        </a:xfrm>
        <a:prstGeom prst="line">
          <a:avLst/>
        </a:prstGeom>
        <a:ln w="76200" cap="rnd">
          <a:solidFill>
            <a:srgbClr val="000000"/>
          </a:solidFill>
          <a:round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489857</xdr:colOff>
      <xdr:row>12</xdr:row>
      <xdr:rowOff>40822</xdr:rowOff>
    </xdr:from>
    <xdr:to>
      <xdr:col>38</xdr:col>
      <xdr:colOff>489857</xdr:colOff>
      <xdr:row>12</xdr:row>
      <xdr:rowOff>217715</xdr:rowOff>
    </xdr:to>
    <xdr:cxnSp macro="">
      <xdr:nvCxnSpPr>
        <xdr:cNvPr id="31" name="Straight Connector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CxnSpPr/>
      </xdr:nvCxnSpPr>
      <xdr:spPr>
        <a:xfrm>
          <a:off x="36113357" y="2449286"/>
          <a:ext cx="0" cy="176893"/>
        </a:xfrm>
        <a:prstGeom prst="line">
          <a:avLst/>
        </a:prstGeom>
        <a:ln w="76200" cap="rnd">
          <a:solidFill>
            <a:srgbClr val="000000"/>
          </a:solidFill>
          <a:round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476250</xdr:colOff>
      <xdr:row>15</xdr:row>
      <xdr:rowOff>13607</xdr:rowOff>
    </xdr:from>
    <xdr:to>
      <xdr:col>38</xdr:col>
      <xdr:colOff>476250</xdr:colOff>
      <xdr:row>15</xdr:row>
      <xdr:rowOff>204107</xdr:rowOff>
    </xdr:to>
    <xdr:cxnSp macro="">
      <xdr:nvCxnSpPr>
        <xdr:cNvPr id="32" name="Straight Connector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CxnSpPr/>
      </xdr:nvCxnSpPr>
      <xdr:spPr>
        <a:xfrm>
          <a:off x="36099750" y="3156857"/>
          <a:ext cx="0" cy="190500"/>
        </a:xfrm>
        <a:prstGeom prst="line">
          <a:avLst/>
        </a:prstGeom>
        <a:ln w="76200" cap="rnd">
          <a:solidFill>
            <a:srgbClr val="2AAC4C"/>
          </a:solidFill>
          <a:round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802822</xdr:colOff>
      <xdr:row>12</xdr:row>
      <xdr:rowOff>27215</xdr:rowOff>
    </xdr:from>
    <xdr:to>
      <xdr:col>6</xdr:col>
      <xdr:colOff>802822</xdr:colOff>
      <xdr:row>12</xdr:row>
      <xdr:rowOff>231322</xdr:rowOff>
    </xdr:to>
    <xdr:cxnSp macro="">
      <xdr:nvCxnSpPr>
        <xdr:cNvPr id="33" name="Straight Connector 32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CxnSpPr/>
      </xdr:nvCxnSpPr>
      <xdr:spPr>
        <a:xfrm>
          <a:off x="6259286" y="2435679"/>
          <a:ext cx="0" cy="204107"/>
        </a:xfrm>
        <a:prstGeom prst="line">
          <a:avLst/>
        </a:prstGeom>
        <a:ln w="76200" cap="rnd">
          <a:solidFill>
            <a:srgbClr val="000000"/>
          </a:solidFill>
          <a:round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789215</xdr:colOff>
      <xdr:row>15</xdr:row>
      <xdr:rowOff>27214</xdr:rowOff>
    </xdr:from>
    <xdr:to>
      <xdr:col>6</xdr:col>
      <xdr:colOff>789215</xdr:colOff>
      <xdr:row>15</xdr:row>
      <xdr:rowOff>204107</xdr:rowOff>
    </xdr:to>
    <xdr:cxnSp macro="">
      <xdr:nvCxnSpPr>
        <xdr:cNvPr id="34" name="Straight Connector 33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CxnSpPr/>
      </xdr:nvCxnSpPr>
      <xdr:spPr>
        <a:xfrm>
          <a:off x="6245679" y="3170464"/>
          <a:ext cx="0" cy="176893"/>
        </a:xfrm>
        <a:prstGeom prst="line">
          <a:avLst/>
        </a:prstGeom>
        <a:ln w="76200" cap="rnd">
          <a:solidFill>
            <a:srgbClr val="000000"/>
          </a:solidFill>
          <a:round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1006929</xdr:colOff>
      <xdr:row>33</xdr:row>
      <xdr:rowOff>13607</xdr:rowOff>
    </xdr:from>
    <xdr:to>
      <xdr:col>17</xdr:col>
      <xdr:colOff>1006929</xdr:colOff>
      <xdr:row>33</xdr:row>
      <xdr:rowOff>204107</xdr:rowOff>
    </xdr:to>
    <xdr:cxnSp macro="">
      <xdr:nvCxnSpPr>
        <xdr:cNvPr id="38" name="Straight Connector 37">
          <a:extLst>
            <a:ext uri="{FF2B5EF4-FFF2-40B4-BE49-F238E27FC236}">
              <a16:creationId xmlns:a16="http://schemas.microsoft.com/office/drawing/2014/main" id="{00000000-0008-0000-0200-000026000000}"/>
            </a:ext>
          </a:extLst>
        </xdr:cNvPr>
        <xdr:cNvCxnSpPr/>
      </xdr:nvCxnSpPr>
      <xdr:spPr>
        <a:xfrm>
          <a:off x="17907000" y="7565571"/>
          <a:ext cx="0" cy="190500"/>
        </a:xfrm>
        <a:prstGeom prst="line">
          <a:avLst/>
        </a:prstGeom>
        <a:ln w="76200" cap="rnd">
          <a:solidFill>
            <a:srgbClr val="000000"/>
          </a:solidFill>
          <a:round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1017815</xdr:colOff>
      <xdr:row>29</xdr:row>
      <xdr:rowOff>242204</xdr:rowOff>
    </xdr:from>
    <xdr:to>
      <xdr:col>17</xdr:col>
      <xdr:colOff>1020536</xdr:colOff>
      <xdr:row>30</xdr:row>
      <xdr:rowOff>231321</xdr:rowOff>
    </xdr:to>
    <xdr:cxnSp macro="">
      <xdr:nvCxnSpPr>
        <xdr:cNvPr id="39" name="Straight Connector 38"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CxnSpPr/>
      </xdr:nvCxnSpPr>
      <xdr:spPr>
        <a:xfrm>
          <a:off x="17917886" y="6814454"/>
          <a:ext cx="2721" cy="234046"/>
        </a:xfrm>
        <a:prstGeom prst="line">
          <a:avLst/>
        </a:prstGeom>
        <a:ln w="76200" cap="rnd">
          <a:solidFill>
            <a:srgbClr val="000000"/>
          </a:solidFill>
          <a:round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1020536</xdr:colOff>
      <xdr:row>27</xdr:row>
      <xdr:rowOff>27214</xdr:rowOff>
    </xdr:from>
    <xdr:to>
      <xdr:col>17</xdr:col>
      <xdr:colOff>1020536</xdr:colOff>
      <xdr:row>27</xdr:row>
      <xdr:rowOff>217714</xdr:rowOff>
    </xdr:to>
    <xdr:cxnSp macro="">
      <xdr:nvCxnSpPr>
        <xdr:cNvPr id="40" name="Straight Connector 39">
          <a:extLst>
            <a:ext uri="{FF2B5EF4-FFF2-40B4-BE49-F238E27FC236}">
              <a16:creationId xmlns:a16="http://schemas.microsoft.com/office/drawing/2014/main" id="{00000000-0008-0000-0200-000028000000}"/>
            </a:ext>
          </a:extLst>
        </xdr:cNvPr>
        <xdr:cNvCxnSpPr/>
      </xdr:nvCxnSpPr>
      <xdr:spPr>
        <a:xfrm>
          <a:off x="17920607" y="6109607"/>
          <a:ext cx="0" cy="190500"/>
        </a:xfrm>
        <a:prstGeom prst="line">
          <a:avLst/>
        </a:prstGeom>
        <a:ln w="76200" cap="rnd">
          <a:solidFill>
            <a:srgbClr val="000000"/>
          </a:solidFill>
          <a:round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1074964</xdr:colOff>
      <xdr:row>33</xdr:row>
      <xdr:rowOff>40822</xdr:rowOff>
    </xdr:from>
    <xdr:to>
      <xdr:col>10</xdr:col>
      <xdr:colOff>1074964</xdr:colOff>
      <xdr:row>33</xdr:row>
      <xdr:rowOff>217715</xdr:rowOff>
    </xdr:to>
    <xdr:cxnSp macro="">
      <xdr:nvCxnSpPr>
        <xdr:cNvPr id="41" name="Straight Connector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CxnSpPr/>
      </xdr:nvCxnSpPr>
      <xdr:spPr>
        <a:xfrm>
          <a:off x="10218964" y="7592786"/>
          <a:ext cx="0" cy="176893"/>
        </a:xfrm>
        <a:prstGeom prst="line">
          <a:avLst/>
        </a:prstGeom>
        <a:ln w="76200" cap="rnd">
          <a:solidFill>
            <a:srgbClr val="000000"/>
          </a:solidFill>
          <a:round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1088572</xdr:colOff>
      <xdr:row>30</xdr:row>
      <xdr:rowOff>0</xdr:rowOff>
    </xdr:from>
    <xdr:to>
      <xdr:col>10</xdr:col>
      <xdr:colOff>1088572</xdr:colOff>
      <xdr:row>30</xdr:row>
      <xdr:rowOff>217714</xdr:rowOff>
    </xdr:to>
    <xdr:cxnSp macro="">
      <xdr:nvCxnSpPr>
        <xdr:cNvPr id="42" name="Straight Connector 41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CxnSpPr/>
      </xdr:nvCxnSpPr>
      <xdr:spPr>
        <a:xfrm>
          <a:off x="10232572" y="6817179"/>
          <a:ext cx="0" cy="217714"/>
        </a:xfrm>
        <a:prstGeom prst="line">
          <a:avLst/>
        </a:prstGeom>
        <a:ln w="76200" cap="rnd">
          <a:solidFill>
            <a:srgbClr val="2AAC4C"/>
          </a:solidFill>
          <a:round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748393</xdr:colOff>
      <xdr:row>33</xdr:row>
      <xdr:rowOff>13607</xdr:rowOff>
    </xdr:from>
    <xdr:to>
      <xdr:col>6</xdr:col>
      <xdr:colOff>748393</xdr:colOff>
      <xdr:row>33</xdr:row>
      <xdr:rowOff>217715</xdr:rowOff>
    </xdr:to>
    <xdr:cxnSp macro="">
      <xdr:nvCxnSpPr>
        <xdr:cNvPr id="44" name="Straight Connector 43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CxnSpPr/>
      </xdr:nvCxnSpPr>
      <xdr:spPr>
        <a:xfrm>
          <a:off x="6204857" y="7565571"/>
          <a:ext cx="0" cy="204108"/>
        </a:xfrm>
        <a:prstGeom prst="line">
          <a:avLst/>
        </a:prstGeom>
        <a:ln w="76200" cap="rnd">
          <a:solidFill>
            <a:srgbClr val="000000"/>
          </a:solidFill>
          <a:round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762000</xdr:colOff>
      <xdr:row>30</xdr:row>
      <xdr:rowOff>13607</xdr:rowOff>
    </xdr:from>
    <xdr:to>
      <xdr:col>6</xdr:col>
      <xdr:colOff>762000</xdr:colOff>
      <xdr:row>30</xdr:row>
      <xdr:rowOff>231321</xdr:rowOff>
    </xdr:to>
    <xdr:cxnSp macro="">
      <xdr:nvCxnSpPr>
        <xdr:cNvPr id="45" name="Straight Connector 44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CxnSpPr/>
      </xdr:nvCxnSpPr>
      <xdr:spPr>
        <a:xfrm>
          <a:off x="6218464" y="6830786"/>
          <a:ext cx="0" cy="217714"/>
        </a:xfrm>
        <a:prstGeom prst="line">
          <a:avLst/>
        </a:prstGeom>
        <a:ln w="76200" cap="rnd">
          <a:solidFill>
            <a:srgbClr val="000000"/>
          </a:solidFill>
          <a:round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762000</xdr:colOff>
      <xdr:row>27</xdr:row>
      <xdr:rowOff>27214</xdr:rowOff>
    </xdr:from>
    <xdr:to>
      <xdr:col>6</xdr:col>
      <xdr:colOff>762000</xdr:colOff>
      <xdr:row>27</xdr:row>
      <xdr:rowOff>231321</xdr:rowOff>
    </xdr:to>
    <xdr:cxnSp macro="">
      <xdr:nvCxnSpPr>
        <xdr:cNvPr id="46" name="Straight Connector 45"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CxnSpPr/>
      </xdr:nvCxnSpPr>
      <xdr:spPr>
        <a:xfrm>
          <a:off x="6218464" y="6109607"/>
          <a:ext cx="0" cy="204107"/>
        </a:xfrm>
        <a:prstGeom prst="line">
          <a:avLst/>
        </a:prstGeom>
        <a:ln w="76200" cap="rnd">
          <a:solidFill>
            <a:srgbClr val="000000"/>
          </a:solidFill>
          <a:round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1020535</xdr:colOff>
      <xdr:row>33</xdr:row>
      <xdr:rowOff>27215</xdr:rowOff>
    </xdr:from>
    <xdr:to>
      <xdr:col>23</xdr:col>
      <xdr:colOff>1020535</xdr:colOff>
      <xdr:row>33</xdr:row>
      <xdr:rowOff>217715</xdr:rowOff>
    </xdr:to>
    <xdr:cxnSp macro="">
      <xdr:nvCxnSpPr>
        <xdr:cNvPr id="47" name="Straight Connector 46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CxnSpPr/>
      </xdr:nvCxnSpPr>
      <xdr:spPr>
        <a:xfrm>
          <a:off x="23553964" y="7579179"/>
          <a:ext cx="0" cy="190500"/>
        </a:xfrm>
        <a:prstGeom prst="line">
          <a:avLst/>
        </a:prstGeom>
        <a:ln w="76200" cap="rnd">
          <a:solidFill>
            <a:srgbClr val="000000"/>
          </a:solidFill>
          <a:round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1034142</xdr:colOff>
      <xdr:row>30</xdr:row>
      <xdr:rowOff>40821</xdr:rowOff>
    </xdr:from>
    <xdr:to>
      <xdr:col>23</xdr:col>
      <xdr:colOff>1034142</xdr:colOff>
      <xdr:row>30</xdr:row>
      <xdr:rowOff>231321</xdr:rowOff>
    </xdr:to>
    <xdr:cxnSp macro="">
      <xdr:nvCxnSpPr>
        <xdr:cNvPr id="48" name="Straight Connector 47">
          <a:extLs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CxnSpPr/>
      </xdr:nvCxnSpPr>
      <xdr:spPr>
        <a:xfrm>
          <a:off x="23567571" y="6858000"/>
          <a:ext cx="0" cy="190500"/>
        </a:xfrm>
        <a:prstGeom prst="line">
          <a:avLst/>
        </a:prstGeom>
        <a:ln w="76200" cap="rnd">
          <a:solidFill>
            <a:srgbClr val="000000"/>
          </a:solidFill>
          <a:round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1020535</xdr:colOff>
      <xdr:row>27</xdr:row>
      <xdr:rowOff>40820</xdr:rowOff>
    </xdr:from>
    <xdr:to>
      <xdr:col>23</xdr:col>
      <xdr:colOff>1020535</xdr:colOff>
      <xdr:row>27</xdr:row>
      <xdr:rowOff>204106</xdr:rowOff>
    </xdr:to>
    <xdr:cxnSp macro="">
      <xdr:nvCxnSpPr>
        <xdr:cNvPr id="49" name="Straight Connector 48">
          <a:extLst>
            <a:ext uri="{FF2B5EF4-FFF2-40B4-BE49-F238E27FC236}">
              <a16:creationId xmlns:a16="http://schemas.microsoft.com/office/drawing/2014/main" id="{00000000-0008-0000-0200-000031000000}"/>
            </a:ext>
          </a:extLst>
        </xdr:cNvPr>
        <xdr:cNvCxnSpPr/>
      </xdr:nvCxnSpPr>
      <xdr:spPr>
        <a:xfrm>
          <a:off x="23553964" y="6123213"/>
          <a:ext cx="0" cy="163286"/>
        </a:xfrm>
        <a:prstGeom prst="line">
          <a:avLst/>
        </a:prstGeom>
        <a:ln w="76200" cap="rnd">
          <a:solidFill>
            <a:srgbClr val="000000"/>
          </a:solidFill>
          <a:round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666750</xdr:colOff>
      <xdr:row>33</xdr:row>
      <xdr:rowOff>13607</xdr:rowOff>
    </xdr:from>
    <xdr:to>
      <xdr:col>26</xdr:col>
      <xdr:colOff>666750</xdr:colOff>
      <xdr:row>33</xdr:row>
      <xdr:rowOff>231322</xdr:rowOff>
    </xdr:to>
    <xdr:cxnSp macro="">
      <xdr:nvCxnSpPr>
        <xdr:cNvPr id="50" name="Straight Connector 49">
          <a:extLst>
            <a:ext uri="{FF2B5EF4-FFF2-40B4-BE49-F238E27FC236}">
              <a16:creationId xmlns:a16="http://schemas.microsoft.com/office/drawing/2014/main" id="{00000000-0008-0000-0200-000032000000}"/>
            </a:ext>
          </a:extLst>
        </xdr:cNvPr>
        <xdr:cNvCxnSpPr/>
      </xdr:nvCxnSpPr>
      <xdr:spPr>
        <a:xfrm>
          <a:off x="26125714" y="7565571"/>
          <a:ext cx="0" cy="217715"/>
        </a:xfrm>
        <a:prstGeom prst="line">
          <a:avLst/>
        </a:prstGeom>
        <a:ln w="76200" cap="rnd">
          <a:solidFill>
            <a:srgbClr val="000000"/>
          </a:solidFill>
          <a:round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653143</xdr:colOff>
      <xdr:row>30</xdr:row>
      <xdr:rowOff>27214</xdr:rowOff>
    </xdr:from>
    <xdr:to>
      <xdr:col>26</xdr:col>
      <xdr:colOff>653143</xdr:colOff>
      <xdr:row>30</xdr:row>
      <xdr:rowOff>231321</xdr:rowOff>
    </xdr:to>
    <xdr:cxnSp macro="">
      <xdr:nvCxnSpPr>
        <xdr:cNvPr id="51" name="Straight Connector 50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CxnSpPr/>
      </xdr:nvCxnSpPr>
      <xdr:spPr>
        <a:xfrm>
          <a:off x="26112107" y="6844393"/>
          <a:ext cx="0" cy="204107"/>
        </a:xfrm>
        <a:prstGeom prst="line">
          <a:avLst/>
        </a:prstGeom>
        <a:ln w="76200" cap="rnd">
          <a:solidFill>
            <a:srgbClr val="000000"/>
          </a:solidFill>
          <a:round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435429</xdr:colOff>
      <xdr:row>33</xdr:row>
      <xdr:rowOff>13607</xdr:rowOff>
    </xdr:from>
    <xdr:to>
      <xdr:col>38</xdr:col>
      <xdr:colOff>435429</xdr:colOff>
      <xdr:row>33</xdr:row>
      <xdr:rowOff>231322</xdr:rowOff>
    </xdr:to>
    <xdr:cxnSp macro="">
      <xdr:nvCxnSpPr>
        <xdr:cNvPr id="53" name="Straight Connector 52">
          <a:extLst>
            <a:ext uri="{FF2B5EF4-FFF2-40B4-BE49-F238E27FC236}">
              <a16:creationId xmlns:a16="http://schemas.microsoft.com/office/drawing/2014/main" id="{00000000-0008-0000-0200-000035000000}"/>
            </a:ext>
          </a:extLst>
        </xdr:cNvPr>
        <xdr:cNvCxnSpPr/>
      </xdr:nvCxnSpPr>
      <xdr:spPr>
        <a:xfrm>
          <a:off x="36058929" y="7565571"/>
          <a:ext cx="0" cy="217715"/>
        </a:xfrm>
        <a:prstGeom prst="line">
          <a:avLst/>
        </a:prstGeom>
        <a:ln w="76200" cap="rnd">
          <a:solidFill>
            <a:srgbClr val="2AAC4C"/>
          </a:solidFill>
          <a:round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435429</xdr:colOff>
      <xdr:row>30</xdr:row>
      <xdr:rowOff>27214</xdr:rowOff>
    </xdr:from>
    <xdr:to>
      <xdr:col>38</xdr:col>
      <xdr:colOff>435429</xdr:colOff>
      <xdr:row>30</xdr:row>
      <xdr:rowOff>217714</xdr:rowOff>
    </xdr:to>
    <xdr:cxnSp macro="">
      <xdr:nvCxnSpPr>
        <xdr:cNvPr id="54" name="Straight Connector 53">
          <a:extLst>
            <a:ext uri="{FF2B5EF4-FFF2-40B4-BE49-F238E27FC236}">
              <a16:creationId xmlns:a16="http://schemas.microsoft.com/office/drawing/2014/main" id="{00000000-0008-0000-0200-000036000000}"/>
            </a:ext>
          </a:extLst>
        </xdr:cNvPr>
        <xdr:cNvCxnSpPr/>
      </xdr:nvCxnSpPr>
      <xdr:spPr>
        <a:xfrm>
          <a:off x="36058929" y="6844393"/>
          <a:ext cx="0" cy="190500"/>
        </a:xfrm>
        <a:prstGeom prst="line">
          <a:avLst/>
        </a:prstGeom>
        <a:ln w="76200" cap="rnd">
          <a:solidFill>
            <a:srgbClr val="000000"/>
          </a:solidFill>
          <a:round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639535</xdr:colOff>
      <xdr:row>33</xdr:row>
      <xdr:rowOff>27215</xdr:rowOff>
    </xdr:from>
    <xdr:to>
      <xdr:col>30</xdr:col>
      <xdr:colOff>639535</xdr:colOff>
      <xdr:row>33</xdr:row>
      <xdr:rowOff>217715</xdr:rowOff>
    </xdr:to>
    <xdr:cxnSp macro="">
      <xdr:nvCxnSpPr>
        <xdr:cNvPr id="56" name="Straight Connector 55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CxnSpPr/>
      </xdr:nvCxnSpPr>
      <xdr:spPr>
        <a:xfrm>
          <a:off x="30030964" y="7579179"/>
          <a:ext cx="0" cy="190500"/>
        </a:xfrm>
        <a:prstGeom prst="line">
          <a:avLst/>
        </a:prstGeom>
        <a:ln w="76200" cap="rnd">
          <a:solidFill>
            <a:srgbClr val="000000"/>
          </a:solidFill>
          <a:round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653142</xdr:colOff>
      <xdr:row>27</xdr:row>
      <xdr:rowOff>0</xdr:rowOff>
    </xdr:from>
    <xdr:to>
      <xdr:col>30</xdr:col>
      <xdr:colOff>653144</xdr:colOff>
      <xdr:row>30</xdr:row>
      <xdr:rowOff>231321</xdr:rowOff>
    </xdr:to>
    <xdr:cxnSp macro="">
      <xdr:nvCxnSpPr>
        <xdr:cNvPr id="57" name="Straight Connector 56">
          <a:extLst>
            <a:ext uri="{FF2B5EF4-FFF2-40B4-BE49-F238E27FC236}">
              <a16:creationId xmlns:a16="http://schemas.microsoft.com/office/drawing/2014/main" id="{00000000-0008-0000-0200-000039000000}"/>
            </a:ext>
          </a:extLst>
        </xdr:cNvPr>
        <xdr:cNvCxnSpPr/>
      </xdr:nvCxnSpPr>
      <xdr:spPr>
        <a:xfrm flipH="1">
          <a:off x="30044571" y="6082393"/>
          <a:ext cx="2" cy="966107"/>
        </a:xfrm>
        <a:prstGeom prst="line">
          <a:avLst/>
        </a:prstGeom>
        <a:ln w="76200" cap="rnd">
          <a:solidFill>
            <a:srgbClr val="000000"/>
          </a:solidFill>
          <a:round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489857</xdr:colOff>
      <xdr:row>33</xdr:row>
      <xdr:rowOff>13607</xdr:rowOff>
    </xdr:from>
    <xdr:to>
      <xdr:col>34</xdr:col>
      <xdr:colOff>489857</xdr:colOff>
      <xdr:row>33</xdr:row>
      <xdr:rowOff>231322</xdr:rowOff>
    </xdr:to>
    <xdr:cxnSp macro="">
      <xdr:nvCxnSpPr>
        <xdr:cNvPr id="60" name="Straight Connector 59">
          <a:extLst>
            <a:ext uri="{FF2B5EF4-FFF2-40B4-BE49-F238E27FC236}">
              <a16:creationId xmlns:a16="http://schemas.microsoft.com/office/drawing/2014/main" id="{00000000-0008-0000-0200-00003C000000}"/>
            </a:ext>
          </a:extLst>
        </xdr:cNvPr>
        <xdr:cNvCxnSpPr/>
      </xdr:nvCxnSpPr>
      <xdr:spPr>
        <a:xfrm>
          <a:off x="32929286" y="7565571"/>
          <a:ext cx="0" cy="217715"/>
        </a:xfrm>
        <a:prstGeom prst="line">
          <a:avLst/>
        </a:prstGeom>
        <a:ln w="76200" cap="rnd">
          <a:solidFill>
            <a:srgbClr val="000000"/>
          </a:solidFill>
          <a:round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503464</xdr:colOff>
      <xdr:row>27</xdr:row>
      <xdr:rowOff>0</xdr:rowOff>
    </xdr:from>
    <xdr:to>
      <xdr:col>34</xdr:col>
      <xdr:colOff>503464</xdr:colOff>
      <xdr:row>30</xdr:row>
      <xdr:rowOff>217714</xdr:rowOff>
    </xdr:to>
    <xdr:cxnSp macro="">
      <xdr:nvCxnSpPr>
        <xdr:cNvPr id="61" name="Straight Connector 60">
          <a:extLst>
            <a:ext uri="{FF2B5EF4-FFF2-40B4-BE49-F238E27FC236}">
              <a16:creationId xmlns:a16="http://schemas.microsoft.com/office/drawing/2014/main" id="{00000000-0008-0000-0200-00003D000000}"/>
            </a:ext>
          </a:extLst>
        </xdr:cNvPr>
        <xdr:cNvCxnSpPr/>
      </xdr:nvCxnSpPr>
      <xdr:spPr>
        <a:xfrm>
          <a:off x="32942893" y="6082393"/>
          <a:ext cx="0" cy="952500"/>
        </a:xfrm>
        <a:prstGeom prst="line">
          <a:avLst/>
        </a:prstGeom>
        <a:ln w="76200" cap="rnd">
          <a:solidFill>
            <a:srgbClr val="000000"/>
          </a:solidFill>
          <a:round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762000</xdr:colOff>
      <xdr:row>39</xdr:row>
      <xdr:rowOff>27214</xdr:rowOff>
    </xdr:from>
    <xdr:to>
      <xdr:col>12</xdr:col>
      <xdr:colOff>764720</xdr:colOff>
      <xdr:row>40</xdr:row>
      <xdr:rowOff>2722</xdr:rowOff>
    </xdr:to>
    <xdr:cxnSp macro="">
      <xdr:nvCxnSpPr>
        <xdr:cNvPr id="63" name="Straight Connector 62">
          <a:extLst>
            <a:ext uri="{FF2B5EF4-FFF2-40B4-BE49-F238E27FC236}">
              <a16:creationId xmlns:a16="http://schemas.microsoft.com/office/drawing/2014/main" id="{00000000-0008-0000-0200-00003F000000}"/>
            </a:ext>
          </a:extLst>
        </xdr:cNvPr>
        <xdr:cNvCxnSpPr/>
      </xdr:nvCxnSpPr>
      <xdr:spPr>
        <a:xfrm>
          <a:off x="12722679" y="9048750"/>
          <a:ext cx="2720" cy="220436"/>
        </a:xfrm>
        <a:prstGeom prst="line">
          <a:avLst/>
        </a:prstGeom>
        <a:ln w="76200" cap="rnd">
          <a:solidFill>
            <a:srgbClr val="2AAC4C"/>
          </a:solidFill>
          <a:round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884464</xdr:colOff>
      <xdr:row>39</xdr:row>
      <xdr:rowOff>27214</xdr:rowOff>
    </xdr:from>
    <xdr:to>
      <xdr:col>20</xdr:col>
      <xdr:colOff>884464</xdr:colOff>
      <xdr:row>39</xdr:row>
      <xdr:rowOff>231321</xdr:rowOff>
    </xdr:to>
    <xdr:cxnSp macro="">
      <xdr:nvCxnSpPr>
        <xdr:cNvPr id="64" name="Straight Connector 63">
          <a:extLst>
            <a:ext uri="{FF2B5EF4-FFF2-40B4-BE49-F238E27FC236}">
              <a16:creationId xmlns:a16="http://schemas.microsoft.com/office/drawing/2014/main" id="{00000000-0008-0000-0200-000040000000}"/>
            </a:ext>
          </a:extLst>
        </xdr:cNvPr>
        <xdr:cNvCxnSpPr/>
      </xdr:nvCxnSpPr>
      <xdr:spPr>
        <a:xfrm>
          <a:off x="20710071" y="9048750"/>
          <a:ext cx="0" cy="204107"/>
        </a:xfrm>
        <a:prstGeom prst="line">
          <a:avLst/>
        </a:prstGeom>
        <a:ln w="76200" cap="rnd">
          <a:solidFill>
            <a:srgbClr val="000000"/>
          </a:solidFill>
          <a:round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789214</xdr:colOff>
      <xdr:row>12</xdr:row>
      <xdr:rowOff>8164</xdr:rowOff>
    </xdr:from>
    <xdr:to>
      <xdr:col>2</xdr:col>
      <xdr:colOff>797378</xdr:colOff>
      <xdr:row>15</xdr:row>
      <xdr:rowOff>231321</xdr:rowOff>
    </xdr:to>
    <xdr:cxnSp macro="">
      <xdr:nvCxnSpPr>
        <xdr:cNvPr id="67" name="Straight Connector 66">
          <a:extLst>
            <a:ext uri="{FF2B5EF4-FFF2-40B4-BE49-F238E27FC236}">
              <a16:creationId xmlns:a16="http://schemas.microsoft.com/office/drawing/2014/main" id="{00000000-0008-0000-0200-000043000000}"/>
            </a:ext>
          </a:extLst>
        </xdr:cNvPr>
        <xdr:cNvCxnSpPr/>
      </xdr:nvCxnSpPr>
      <xdr:spPr>
        <a:xfrm flipH="1">
          <a:off x="1905000" y="2416628"/>
          <a:ext cx="8164" cy="957943"/>
        </a:xfrm>
        <a:prstGeom prst="line">
          <a:avLst/>
        </a:prstGeom>
        <a:ln w="76200" cap="rnd">
          <a:solidFill>
            <a:srgbClr val="000000"/>
          </a:solidFill>
          <a:round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503464</xdr:colOff>
      <xdr:row>12</xdr:row>
      <xdr:rowOff>13607</xdr:rowOff>
    </xdr:from>
    <xdr:to>
      <xdr:col>34</xdr:col>
      <xdr:colOff>517072</xdr:colOff>
      <xdr:row>15</xdr:row>
      <xdr:rowOff>204106</xdr:rowOff>
    </xdr:to>
    <xdr:cxnSp macro="">
      <xdr:nvCxnSpPr>
        <xdr:cNvPr id="69" name="Straight Connector 68">
          <a:extLst>
            <a:ext uri="{FF2B5EF4-FFF2-40B4-BE49-F238E27FC236}">
              <a16:creationId xmlns:a16="http://schemas.microsoft.com/office/drawing/2014/main" id="{00000000-0008-0000-0200-000045000000}"/>
            </a:ext>
          </a:extLst>
        </xdr:cNvPr>
        <xdr:cNvCxnSpPr/>
      </xdr:nvCxnSpPr>
      <xdr:spPr>
        <a:xfrm>
          <a:off x="32942893" y="2422071"/>
          <a:ext cx="13608" cy="925285"/>
        </a:xfrm>
        <a:prstGeom prst="line">
          <a:avLst/>
        </a:prstGeom>
        <a:ln w="76200" cap="rnd">
          <a:solidFill>
            <a:srgbClr val="000000"/>
          </a:solidFill>
          <a:round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1020536</xdr:colOff>
      <xdr:row>30</xdr:row>
      <xdr:rowOff>43540</xdr:rowOff>
    </xdr:from>
    <xdr:to>
      <xdr:col>14</xdr:col>
      <xdr:colOff>1023258</xdr:colOff>
      <xdr:row>33</xdr:row>
      <xdr:rowOff>217714</xdr:rowOff>
    </xdr:to>
    <xdr:cxnSp macro="">
      <xdr:nvCxnSpPr>
        <xdr:cNvPr id="71" name="Straight Connector 70">
          <a:extLst>
            <a:ext uri="{FF2B5EF4-FFF2-40B4-BE49-F238E27FC236}">
              <a16:creationId xmlns:a16="http://schemas.microsoft.com/office/drawing/2014/main" id="{00000000-0008-0000-0200-000047000000}"/>
            </a:ext>
          </a:extLst>
        </xdr:cNvPr>
        <xdr:cNvCxnSpPr/>
      </xdr:nvCxnSpPr>
      <xdr:spPr>
        <a:xfrm flipH="1">
          <a:off x="14995072" y="6901540"/>
          <a:ext cx="2722" cy="908960"/>
        </a:xfrm>
        <a:prstGeom prst="line">
          <a:avLst/>
        </a:prstGeom>
        <a:ln w="76200" cap="rnd">
          <a:solidFill>
            <a:srgbClr val="000000"/>
          </a:solidFill>
          <a:round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843643</xdr:colOff>
      <xdr:row>27</xdr:row>
      <xdr:rowOff>27214</xdr:rowOff>
    </xdr:from>
    <xdr:to>
      <xdr:col>2</xdr:col>
      <xdr:colOff>870857</xdr:colOff>
      <xdr:row>33</xdr:row>
      <xdr:rowOff>231322</xdr:rowOff>
    </xdr:to>
    <xdr:cxnSp macro="">
      <xdr:nvCxnSpPr>
        <xdr:cNvPr id="73" name="Straight Connector 72">
          <a:extLst>
            <a:ext uri="{FF2B5EF4-FFF2-40B4-BE49-F238E27FC236}">
              <a16:creationId xmlns:a16="http://schemas.microsoft.com/office/drawing/2014/main" id="{00000000-0008-0000-0200-000049000000}"/>
            </a:ext>
          </a:extLst>
        </xdr:cNvPr>
        <xdr:cNvCxnSpPr/>
      </xdr:nvCxnSpPr>
      <xdr:spPr>
        <a:xfrm flipH="1">
          <a:off x="1959429" y="6109607"/>
          <a:ext cx="27214" cy="1673679"/>
        </a:xfrm>
        <a:prstGeom prst="line">
          <a:avLst/>
        </a:prstGeom>
        <a:ln w="76200" cap="rnd">
          <a:solidFill>
            <a:srgbClr val="000000"/>
          </a:solidFill>
          <a:round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843643</xdr:colOff>
      <xdr:row>36</xdr:row>
      <xdr:rowOff>8162</xdr:rowOff>
    </xdr:from>
    <xdr:to>
      <xdr:col>2</xdr:col>
      <xdr:colOff>865417</xdr:colOff>
      <xdr:row>39</xdr:row>
      <xdr:rowOff>231321</xdr:rowOff>
    </xdr:to>
    <xdr:cxnSp macro="">
      <xdr:nvCxnSpPr>
        <xdr:cNvPr id="77" name="Straight Connector 76">
          <a:extLst>
            <a:ext uri="{FF2B5EF4-FFF2-40B4-BE49-F238E27FC236}">
              <a16:creationId xmlns:a16="http://schemas.microsoft.com/office/drawing/2014/main" id="{00000000-0008-0000-0200-00004D000000}"/>
            </a:ext>
          </a:extLst>
        </xdr:cNvPr>
        <xdr:cNvCxnSpPr/>
      </xdr:nvCxnSpPr>
      <xdr:spPr>
        <a:xfrm flipH="1">
          <a:off x="1959429" y="8294912"/>
          <a:ext cx="21774" cy="957945"/>
        </a:xfrm>
        <a:prstGeom prst="line">
          <a:avLst/>
        </a:prstGeom>
        <a:ln w="76200" cap="rnd">
          <a:solidFill>
            <a:srgbClr val="000000"/>
          </a:solidFill>
          <a:round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1115786</xdr:colOff>
      <xdr:row>12</xdr:row>
      <xdr:rowOff>27215</xdr:rowOff>
    </xdr:from>
    <xdr:to>
      <xdr:col>10</xdr:col>
      <xdr:colOff>1129393</xdr:colOff>
      <xdr:row>15</xdr:row>
      <xdr:rowOff>217714</xdr:rowOff>
    </xdr:to>
    <xdr:cxnSp macro="">
      <xdr:nvCxnSpPr>
        <xdr:cNvPr id="83" name="Straight Connector 82">
          <a:extLst>
            <a:ext uri="{FF2B5EF4-FFF2-40B4-BE49-F238E27FC236}">
              <a16:creationId xmlns:a16="http://schemas.microsoft.com/office/drawing/2014/main" id="{00000000-0008-0000-0200-000053000000}"/>
            </a:ext>
          </a:extLst>
        </xdr:cNvPr>
        <xdr:cNvCxnSpPr/>
      </xdr:nvCxnSpPr>
      <xdr:spPr>
        <a:xfrm flipH="1">
          <a:off x="10259786" y="2435679"/>
          <a:ext cx="13607" cy="925285"/>
        </a:xfrm>
        <a:prstGeom prst="line">
          <a:avLst/>
        </a:prstGeom>
        <a:ln w="76200" cap="rnd">
          <a:solidFill>
            <a:srgbClr val="000000"/>
          </a:solidFill>
          <a:round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212274</xdr:colOff>
      <xdr:row>18</xdr:row>
      <xdr:rowOff>21769</xdr:rowOff>
    </xdr:from>
    <xdr:to>
      <xdr:col>32</xdr:col>
      <xdr:colOff>217714</xdr:colOff>
      <xdr:row>21</xdr:row>
      <xdr:rowOff>204108</xdr:rowOff>
    </xdr:to>
    <xdr:cxnSp macro="">
      <xdr:nvCxnSpPr>
        <xdr:cNvPr id="84" name="Straight Connector 83">
          <a:extLst>
            <a:ext uri="{FF2B5EF4-FFF2-40B4-BE49-F238E27FC236}">
              <a16:creationId xmlns:a16="http://schemas.microsoft.com/office/drawing/2014/main" id="{00000000-0008-0000-0200-000054000000}"/>
            </a:ext>
          </a:extLst>
        </xdr:cNvPr>
        <xdr:cNvCxnSpPr/>
      </xdr:nvCxnSpPr>
      <xdr:spPr>
        <a:xfrm>
          <a:off x="31699203" y="3899805"/>
          <a:ext cx="5440" cy="917124"/>
        </a:xfrm>
        <a:prstGeom prst="line">
          <a:avLst/>
        </a:prstGeom>
        <a:ln w="76200" cap="rnd">
          <a:solidFill>
            <a:srgbClr val="000000"/>
          </a:solidFill>
          <a:round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911678</xdr:colOff>
      <xdr:row>23</xdr:row>
      <xdr:rowOff>27214</xdr:rowOff>
    </xdr:from>
    <xdr:to>
      <xdr:col>3</xdr:col>
      <xdr:colOff>522515</xdr:colOff>
      <xdr:row>24</xdr:row>
      <xdr:rowOff>217714</xdr:rowOff>
    </xdr:to>
    <xdr:cxnSp macro="">
      <xdr:nvCxnSpPr>
        <xdr:cNvPr id="85" name="Straight Connector 84">
          <a:extLst>
            <a:ext uri="{FF2B5EF4-FFF2-40B4-BE49-F238E27FC236}">
              <a16:creationId xmlns:a16="http://schemas.microsoft.com/office/drawing/2014/main" id="{00000000-0008-0000-0200-000055000000}"/>
            </a:ext>
          </a:extLst>
        </xdr:cNvPr>
        <xdr:cNvCxnSpPr/>
      </xdr:nvCxnSpPr>
      <xdr:spPr>
        <a:xfrm flipH="1">
          <a:off x="2027464" y="5170714"/>
          <a:ext cx="1379765" cy="435429"/>
        </a:xfrm>
        <a:prstGeom prst="line">
          <a:avLst/>
        </a:prstGeom>
        <a:ln w="76200" cap="rnd">
          <a:solidFill>
            <a:srgbClr val="000000"/>
          </a:solidFill>
          <a:round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40821</xdr:colOff>
      <xdr:row>22</xdr:row>
      <xdr:rowOff>231321</xdr:rowOff>
    </xdr:from>
    <xdr:to>
      <xdr:col>6</xdr:col>
      <xdr:colOff>802821</xdr:colOff>
      <xdr:row>24</xdr:row>
      <xdr:rowOff>217714</xdr:rowOff>
    </xdr:to>
    <xdr:cxnSp macro="">
      <xdr:nvCxnSpPr>
        <xdr:cNvPr id="87" name="Straight Connector 86">
          <a:extLst>
            <a:ext uri="{FF2B5EF4-FFF2-40B4-BE49-F238E27FC236}">
              <a16:creationId xmlns:a16="http://schemas.microsoft.com/office/drawing/2014/main" id="{00000000-0008-0000-0200-000057000000}"/>
            </a:ext>
          </a:extLst>
        </xdr:cNvPr>
        <xdr:cNvCxnSpPr/>
      </xdr:nvCxnSpPr>
      <xdr:spPr>
        <a:xfrm flipH="1" flipV="1">
          <a:off x="5374821" y="5089071"/>
          <a:ext cx="1292679" cy="476250"/>
        </a:xfrm>
        <a:prstGeom prst="line">
          <a:avLst/>
        </a:prstGeom>
        <a:ln w="76200" cap="rnd">
          <a:solidFill>
            <a:srgbClr val="000000"/>
          </a:solidFill>
          <a:round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1020535</xdr:colOff>
      <xdr:row>27</xdr:row>
      <xdr:rowOff>27214</xdr:rowOff>
    </xdr:from>
    <xdr:to>
      <xdr:col>14</xdr:col>
      <xdr:colOff>1020535</xdr:colOff>
      <xdr:row>27</xdr:row>
      <xdr:rowOff>217714</xdr:rowOff>
    </xdr:to>
    <xdr:cxnSp macro="">
      <xdr:nvCxnSpPr>
        <xdr:cNvPr id="95" name="Straight Connector 94">
          <a:extLst>
            <a:ext uri="{FF2B5EF4-FFF2-40B4-BE49-F238E27FC236}">
              <a16:creationId xmlns:a16="http://schemas.microsoft.com/office/drawing/2014/main" id="{00000000-0008-0000-0200-00005F000000}"/>
            </a:ext>
          </a:extLst>
        </xdr:cNvPr>
        <xdr:cNvCxnSpPr/>
      </xdr:nvCxnSpPr>
      <xdr:spPr>
        <a:xfrm>
          <a:off x="14995071" y="6109607"/>
          <a:ext cx="0" cy="190500"/>
        </a:xfrm>
        <a:prstGeom prst="line">
          <a:avLst/>
        </a:prstGeom>
        <a:ln w="76200" cap="rnd">
          <a:solidFill>
            <a:srgbClr val="2AAC4C"/>
          </a:solidFill>
          <a:round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1099457</xdr:colOff>
      <xdr:row>27</xdr:row>
      <xdr:rowOff>13607</xdr:rowOff>
    </xdr:from>
    <xdr:to>
      <xdr:col>10</xdr:col>
      <xdr:colOff>1102179</xdr:colOff>
      <xdr:row>27</xdr:row>
      <xdr:rowOff>201384</xdr:rowOff>
    </xdr:to>
    <xdr:cxnSp macro="">
      <xdr:nvCxnSpPr>
        <xdr:cNvPr id="96" name="Straight Connector 95">
          <a:extLst>
            <a:ext uri="{FF2B5EF4-FFF2-40B4-BE49-F238E27FC236}">
              <a16:creationId xmlns:a16="http://schemas.microsoft.com/office/drawing/2014/main" id="{00000000-0008-0000-0200-000060000000}"/>
            </a:ext>
          </a:extLst>
        </xdr:cNvPr>
        <xdr:cNvCxnSpPr/>
      </xdr:nvCxnSpPr>
      <xdr:spPr>
        <a:xfrm flipH="1">
          <a:off x="10243457" y="6096000"/>
          <a:ext cx="2722" cy="187777"/>
        </a:xfrm>
        <a:prstGeom prst="line">
          <a:avLst/>
        </a:prstGeom>
        <a:ln w="76200" cap="rnd">
          <a:solidFill>
            <a:srgbClr val="000000"/>
          </a:solidFill>
          <a:round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666750</xdr:colOff>
      <xdr:row>27</xdr:row>
      <xdr:rowOff>27214</xdr:rowOff>
    </xdr:from>
    <xdr:to>
      <xdr:col>26</xdr:col>
      <xdr:colOff>666750</xdr:colOff>
      <xdr:row>27</xdr:row>
      <xdr:rowOff>217714</xdr:rowOff>
    </xdr:to>
    <xdr:cxnSp macro="">
      <xdr:nvCxnSpPr>
        <xdr:cNvPr id="104" name="Straight Connector 103">
          <a:extLst>
            <a:ext uri="{FF2B5EF4-FFF2-40B4-BE49-F238E27FC236}">
              <a16:creationId xmlns:a16="http://schemas.microsoft.com/office/drawing/2014/main" id="{00000000-0008-0000-0200-000068000000}"/>
            </a:ext>
          </a:extLst>
        </xdr:cNvPr>
        <xdr:cNvCxnSpPr/>
      </xdr:nvCxnSpPr>
      <xdr:spPr>
        <a:xfrm>
          <a:off x="26125714" y="6109607"/>
          <a:ext cx="0" cy="190500"/>
        </a:xfrm>
        <a:prstGeom prst="line">
          <a:avLst/>
        </a:prstGeom>
        <a:ln w="76200" cap="rnd">
          <a:solidFill>
            <a:srgbClr val="000000"/>
          </a:solidFill>
          <a:round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734785</xdr:colOff>
      <xdr:row>23</xdr:row>
      <xdr:rowOff>0</xdr:rowOff>
    </xdr:from>
    <xdr:to>
      <xdr:col>31</xdr:col>
      <xdr:colOff>598714</xdr:colOff>
      <xdr:row>24</xdr:row>
      <xdr:rowOff>217714</xdr:rowOff>
    </xdr:to>
    <xdr:cxnSp macro="">
      <xdr:nvCxnSpPr>
        <xdr:cNvPr id="114" name="Straight Connector 113">
          <a:extLst>
            <a:ext uri="{FF2B5EF4-FFF2-40B4-BE49-F238E27FC236}">
              <a16:creationId xmlns:a16="http://schemas.microsoft.com/office/drawing/2014/main" id="{00000000-0008-0000-0200-000072000000}"/>
            </a:ext>
          </a:extLst>
        </xdr:cNvPr>
        <xdr:cNvCxnSpPr/>
      </xdr:nvCxnSpPr>
      <xdr:spPr>
        <a:xfrm flipH="1">
          <a:off x="30126214" y="5102679"/>
          <a:ext cx="1347107" cy="462642"/>
        </a:xfrm>
        <a:prstGeom prst="line">
          <a:avLst/>
        </a:prstGeom>
        <a:ln w="76200" cap="rnd">
          <a:solidFill>
            <a:srgbClr val="000000"/>
          </a:solidFill>
          <a:round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27215</xdr:colOff>
      <xdr:row>23</xdr:row>
      <xdr:rowOff>13607</xdr:rowOff>
    </xdr:from>
    <xdr:to>
      <xdr:col>34</xdr:col>
      <xdr:colOff>462643</xdr:colOff>
      <xdr:row>24</xdr:row>
      <xdr:rowOff>190500</xdr:rowOff>
    </xdr:to>
    <xdr:cxnSp macro="">
      <xdr:nvCxnSpPr>
        <xdr:cNvPr id="115" name="Straight Connector 114">
          <a:extLst>
            <a:ext uri="{FF2B5EF4-FFF2-40B4-BE49-F238E27FC236}">
              <a16:creationId xmlns:a16="http://schemas.microsoft.com/office/drawing/2014/main" id="{00000000-0008-0000-0200-000073000000}"/>
            </a:ext>
          </a:extLst>
        </xdr:cNvPr>
        <xdr:cNvCxnSpPr/>
      </xdr:nvCxnSpPr>
      <xdr:spPr>
        <a:xfrm flipH="1" flipV="1">
          <a:off x="34439679" y="4544786"/>
          <a:ext cx="1047750" cy="381000"/>
        </a:xfrm>
        <a:prstGeom prst="line">
          <a:avLst/>
        </a:prstGeom>
        <a:ln w="76200" cap="rnd">
          <a:solidFill>
            <a:srgbClr val="000000"/>
          </a:solidFill>
          <a:round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449036</xdr:colOff>
      <xdr:row>27</xdr:row>
      <xdr:rowOff>27214</xdr:rowOff>
    </xdr:from>
    <xdr:to>
      <xdr:col>38</xdr:col>
      <xdr:colOff>449036</xdr:colOff>
      <xdr:row>27</xdr:row>
      <xdr:rowOff>217714</xdr:rowOff>
    </xdr:to>
    <xdr:cxnSp macro="">
      <xdr:nvCxnSpPr>
        <xdr:cNvPr id="121" name="Straight Connector 120">
          <a:extLst>
            <a:ext uri="{FF2B5EF4-FFF2-40B4-BE49-F238E27FC236}">
              <a16:creationId xmlns:a16="http://schemas.microsoft.com/office/drawing/2014/main" id="{00000000-0008-0000-0200-000079000000}"/>
            </a:ext>
          </a:extLst>
        </xdr:cNvPr>
        <xdr:cNvCxnSpPr/>
      </xdr:nvCxnSpPr>
      <xdr:spPr>
        <a:xfrm>
          <a:off x="36072536" y="6109607"/>
          <a:ext cx="0" cy="190500"/>
        </a:xfrm>
        <a:prstGeom prst="line">
          <a:avLst/>
        </a:prstGeom>
        <a:ln w="76200" cap="rnd">
          <a:solidFill>
            <a:srgbClr val="000000"/>
          </a:solidFill>
          <a:round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1047750</xdr:colOff>
      <xdr:row>36</xdr:row>
      <xdr:rowOff>40821</xdr:rowOff>
    </xdr:from>
    <xdr:to>
      <xdr:col>11</xdr:col>
      <xdr:colOff>503464</xdr:colOff>
      <xdr:row>38</xdr:row>
      <xdr:rowOff>13607</xdr:rowOff>
    </xdr:to>
    <xdr:cxnSp macro="">
      <xdr:nvCxnSpPr>
        <xdr:cNvPr id="124" name="Straight Connector 123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CxnSpPr/>
      </xdr:nvCxnSpPr>
      <xdr:spPr>
        <a:xfrm>
          <a:off x="10191750" y="8327571"/>
          <a:ext cx="1741714" cy="462643"/>
        </a:xfrm>
        <a:prstGeom prst="line">
          <a:avLst/>
        </a:prstGeom>
        <a:ln w="76200" cap="rnd">
          <a:solidFill>
            <a:srgbClr val="000000"/>
          </a:solidFill>
          <a:round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40822</xdr:colOff>
      <xdr:row>36</xdr:row>
      <xdr:rowOff>40821</xdr:rowOff>
    </xdr:from>
    <xdr:to>
      <xdr:col>14</xdr:col>
      <xdr:colOff>1020535</xdr:colOff>
      <xdr:row>38</xdr:row>
      <xdr:rowOff>0</xdr:rowOff>
    </xdr:to>
    <xdr:cxnSp macro="">
      <xdr:nvCxnSpPr>
        <xdr:cNvPr id="126" name="Straight Connector 125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CxnSpPr/>
      </xdr:nvCxnSpPr>
      <xdr:spPr>
        <a:xfrm flipV="1">
          <a:off x="13484679" y="8327571"/>
          <a:ext cx="1510392" cy="449036"/>
        </a:xfrm>
        <a:prstGeom prst="line">
          <a:avLst/>
        </a:prstGeom>
        <a:ln w="76200" cap="rnd">
          <a:solidFill>
            <a:srgbClr val="000000"/>
          </a:solidFill>
          <a:round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762000</xdr:colOff>
      <xdr:row>39</xdr:row>
      <xdr:rowOff>27214</xdr:rowOff>
    </xdr:from>
    <xdr:to>
      <xdr:col>4</xdr:col>
      <xdr:colOff>762000</xdr:colOff>
      <xdr:row>39</xdr:row>
      <xdr:rowOff>217714</xdr:rowOff>
    </xdr:to>
    <xdr:cxnSp macro="">
      <xdr:nvCxnSpPr>
        <xdr:cNvPr id="128" name="Straight Connector 127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CxnSpPr/>
      </xdr:nvCxnSpPr>
      <xdr:spPr>
        <a:xfrm>
          <a:off x="4177393" y="9048750"/>
          <a:ext cx="0" cy="190500"/>
        </a:xfrm>
        <a:prstGeom prst="line">
          <a:avLst/>
        </a:prstGeom>
        <a:ln w="76200" cap="rnd">
          <a:solidFill>
            <a:srgbClr val="000000"/>
          </a:solidFill>
          <a:round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898071</xdr:colOff>
      <xdr:row>36</xdr:row>
      <xdr:rowOff>27214</xdr:rowOff>
    </xdr:from>
    <xdr:to>
      <xdr:col>3</xdr:col>
      <xdr:colOff>489857</xdr:colOff>
      <xdr:row>38</xdr:row>
      <xdr:rowOff>0</xdr:rowOff>
    </xdr:to>
    <xdr:cxnSp macro="">
      <xdr:nvCxnSpPr>
        <xdr:cNvPr id="129" name="Straight Connector 128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CxnSpPr/>
      </xdr:nvCxnSpPr>
      <xdr:spPr>
        <a:xfrm>
          <a:off x="2013857" y="8313964"/>
          <a:ext cx="1360714" cy="462643"/>
        </a:xfrm>
        <a:prstGeom prst="line">
          <a:avLst/>
        </a:prstGeom>
        <a:ln w="76200" cap="rnd">
          <a:solidFill>
            <a:srgbClr val="000000"/>
          </a:solidFill>
          <a:round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40821</xdr:colOff>
      <xdr:row>36</xdr:row>
      <xdr:rowOff>27214</xdr:rowOff>
    </xdr:from>
    <xdr:to>
      <xdr:col>6</xdr:col>
      <xdr:colOff>734786</xdr:colOff>
      <xdr:row>38</xdr:row>
      <xdr:rowOff>27214</xdr:rowOff>
    </xdr:to>
    <xdr:cxnSp macro="">
      <xdr:nvCxnSpPr>
        <xdr:cNvPr id="130" name="Straight Connector 129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CxnSpPr/>
      </xdr:nvCxnSpPr>
      <xdr:spPr>
        <a:xfrm flipV="1">
          <a:off x="4966607" y="8313964"/>
          <a:ext cx="1224643" cy="489857"/>
        </a:xfrm>
        <a:prstGeom prst="line">
          <a:avLst/>
        </a:prstGeom>
        <a:ln w="76200" cap="rnd">
          <a:solidFill>
            <a:srgbClr val="000000"/>
          </a:solidFill>
          <a:round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789215</xdr:colOff>
      <xdr:row>39</xdr:row>
      <xdr:rowOff>27214</xdr:rowOff>
    </xdr:from>
    <xdr:to>
      <xdr:col>28</xdr:col>
      <xdr:colOff>789215</xdr:colOff>
      <xdr:row>39</xdr:row>
      <xdr:rowOff>217714</xdr:rowOff>
    </xdr:to>
    <xdr:cxnSp macro="">
      <xdr:nvCxnSpPr>
        <xdr:cNvPr id="131" name="Straight Connector 130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CxnSpPr/>
      </xdr:nvCxnSpPr>
      <xdr:spPr>
        <a:xfrm>
          <a:off x="28166786" y="9048750"/>
          <a:ext cx="0" cy="190500"/>
        </a:xfrm>
        <a:prstGeom prst="line">
          <a:avLst/>
        </a:prstGeom>
        <a:ln w="76200" cap="rnd">
          <a:solidFill>
            <a:srgbClr val="2AAC4C"/>
          </a:solidFill>
          <a:round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762000</xdr:colOff>
      <xdr:row>36</xdr:row>
      <xdr:rowOff>54429</xdr:rowOff>
    </xdr:from>
    <xdr:to>
      <xdr:col>27</xdr:col>
      <xdr:colOff>517071</xdr:colOff>
      <xdr:row>38</xdr:row>
      <xdr:rowOff>13607</xdr:rowOff>
    </xdr:to>
    <xdr:cxnSp macro="">
      <xdr:nvCxnSpPr>
        <xdr:cNvPr id="132" name="Straight Connector 131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CxnSpPr/>
      </xdr:nvCxnSpPr>
      <xdr:spPr>
        <a:xfrm>
          <a:off x="26220964" y="8341179"/>
          <a:ext cx="1143000" cy="449035"/>
        </a:xfrm>
        <a:prstGeom prst="line">
          <a:avLst/>
        </a:prstGeom>
        <a:ln w="76200" cap="rnd">
          <a:solidFill>
            <a:srgbClr val="000000"/>
          </a:solidFill>
          <a:round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13607</xdr:colOff>
      <xdr:row>36</xdr:row>
      <xdr:rowOff>27214</xdr:rowOff>
    </xdr:from>
    <xdr:to>
      <xdr:col>30</xdr:col>
      <xdr:colOff>680357</xdr:colOff>
      <xdr:row>38</xdr:row>
      <xdr:rowOff>40822</xdr:rowOff>
    </xdr:to>
    <xdr:cxnSp macro="">
      <xdr:nvCxnSpPr>
        <xdr:cNvPr id="133" name="Straight Connector 132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CxnSpPr/>
      </xdr:nvCxnSpPr>
      <xdr:spPr>
        <a:xfrm flipV="1">
          <a:off x="28874357" y="8313964"/>
          <a:ext cx="1197429" cy="503465"/>
        </a:xfrm>
        <a:prstGeom prst="line">
          <a:avLst/>
        </a:prstGeom>
        <a:ln w="76200" cap="rnd">
          <a:solidFill>
            <a:srgbClr val="000000"/>
          </a:solidFill>
          <a:round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625929</xdr:colOff>
      <xdr:row>39</xdr:row>
      <xdr:rowOff>27214</xdr:rowOff>
    </xdr:from>
    <xdr:to>
      <xdr:col>36</xdr:col>
      <xdr:colOff>625929</xdr:colOff>
      <xdr:row>39</xdr:row>
      <xdr:rowOff>217714</xdr:rowOff>
    </xdr:to>
    <xdr:cxnSp macro="">
      <xdr:nvCxnSpPr>
        <xdr:cNvPr id="134" name="Straight Connector 133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CxnSpPr/>
      </xdr:nvCxnSpPr>
      <xdr:spPr>
        <a:xfrm>
          <a:off x="34534929" y="9048750"/>
          <a:ext cx="0" cy="190500"/>
        </a:xfrm>
        <a:prstGeom prst="line">
          <a:avLst/>
        </a:prstGeom>
        <a:ln w="76200" cap="rnd">
          <a:solidFill>
            <a:srgbClr val="000000"/>
          </a:solidFill>
          <a:round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530678</xdr:colOff>
      <xdr:row>36</xdr:row>
      <xdr:rowOff>27214</xdr:rowOff>
    </xdr:from>
    <xdr:to>
      <xdr:col>35</xdr:col>
      <xdr:colOff>503465</xdr:colOff>
      <xdr:row>38</xdr:row>
      <xdr:rowOff>27214</xdr:rowOff>
    </xdr:to>
    <xdr:cxnSp macro="">
      <xdr:nvCxnSpPr>
        <xdr:cNvPr id="135" name="Straight Connector 134">
          <a:extLst>
            <a:ext uri="{FF2B5EF4-FFF2-40B4-BE49-F238E27FC236}">
              <a16:creationId xmlns:a16="http://schemas.microsoft.com/office/drawing/2014/main" id="{00000000-0008-0000-0200-000087000000}"/>
            </a:ext>
          </a:extLst>
        </xdr:cNvPr>
        <xdr:cNvCxnSpPr/>
      </xdr:nvCxnSpPr>
      <xdr:spPr>
        <a:xfrm>
          <a:off x="32970107" y="8313964"/>
          <a:ext cx="911679" cy="489857"/>
        </a:xfrm>
        <a:prstGeom prst="line">
          <a:avLst/>
        </a:prstGeom>
        <a:ln w="76200" cap="rnd">
          <a:solidFill>
            <a:srgbClr val="000000"/>
          </a:solidFill>
          <a:round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27215</xdr:colOff>
      <xdr:row>36</xdr:row>
      <xdr:rowOff>27214</xdr:rowOff>
    </xdr:from>
    <xdr:to>
      <xdr:col>38</xdr:col>
      <xdr:colOff>421821</xdr:colOff>
      <xdr:row>38</xdr:row>
      <xdr:rowOff>13607</xdr:rowOff>
    </xdr:to>
    <xdr:cxnSp macro="">
      <xdr:nvCxnSpPr>
        <xdr:cNvPr id="136" name="Straight Connector 135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CxnSpPr/>
      </xdr:nvCxnSpPr>
      <xdr:spPr>
        <a:xfrm flipV="1">
          <a:off x="35120036" y="8313964"/>
          <a:ext cx="925285" cy="476250"/>
        </a:xfrm>
        <a:prstGeom prst="line">
          <a:avLst/>
        </a:prstGeom>
        <a:ln w="76200" cap="rnd">
          <a:solidFill>
            <a:srgbClr val="000000"/>
          </a:solidFill>
          <a:round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802821</xdr:colOff>
      <xdr:row>18</xdr:row>
      <xdr:rowOff>27214</xdr:rowOff>
    </xdr:from>
    <xdr:to>
      <xdr:col>4</xdr:col>
      <xdr:colOff>721178</xdr:colOff>
      <xdr:row>21</xdr:row>
      <xdr:rowOff>217715</xdr:rowOff>
    </xdr:to>
    <xdr:cxnSp macro="">
      <xdr:nvCxnSpPr>
        <xdr:cNvPr id="137" name="Straight Connector 136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CxnSpPr/>
      </xdr:nvCxnSpPr>
      <xdr:spPr>
        <a:xfrm>
          <a:off x="1918607" y="3905250"/>
          <a:ext cx="2217964" cy="925286"/>
        </a:xfrm>
        <a:prstGeom prst="line">
          <a:avLst/>
        </a:prstGeom>
        <a:ln w="76200" cap="rnd">
          <a:solidFill>
            <a:srgbClr val="000000"/>
          </a:solidFill>
          <a:round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802821</xdr:colOff>
      <xdr:row>17</xdr:row>
      <xdr:rowOff>13607</xdr:rowOff>
    </xdr:from>
    <xdr:to>
      <xdr:col>5</xdr:col>
      <xdr:colOff>503464</xdr:colOff>
      <xdr:row>21</xdr:row>
      <xdr:rowOff>204108</xdr:rowOff>
    </xdr:to>
    <xdr:cxnSp macro="">
      <xdr:nvCxnSpPr>
        <xdr:cNvPr id="139" name="Straight Connector 138">
          <a:extLst>
            <a:ext uri="{FF2B5EF4-FFF2-40B4-BE49-F238E27FC236}">
              <a16:creationId xmlns:a16="http://schemas.microsoft.com/office/drawing/2014/main" id="{00000000-0008-0000-0200-00008B000000}"/>
            </a:ext>
          </a:extLst>
        </xdr:cNvPr>
        <xdr:cNvCxnSpPr/>
      </xdr:nvCxnSpPr>
      <xdr:spPr>
        <a:xfrm flipH="1">
          <a:off x="4218214" y="3646714"/>
          <a:ext cx="1211036" cy="1170215"/>
        </a:xfrm>
        <a:prstGeom prst="line">
          <a:avLst/>
        </a:prstGeom>
        <a:ln w="76200" cap="rnd">
          <a:solidFill>
            <a:srgbClr val="000000"/>
          </a:solidFill>
          <a:round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857250</xdr:colOff>
      <xdr:row>22</xdr:row>
      <xdr:rowOff>231321</xdr:rowOff>
    </xdr:from>
    <xdr:to>
      <xdr:col>7</xdr:col>
      <xdr:colOff>1224643</xdr:colOff>
      <xdr:row>24</xdr:row>
      <xdr:rowOff>217714</xdr:rowOff>
    </xdr:to>
    <xdr:cxnSp macro="">
      <xdr:nvCxnSpPr>
        <xdr:cNvPr id="141" name="Straight Connector 140">
          <a:extLst>
            <a:ext uri="{FF2B5EF4-FFF2-40B4-BE49-F238E27FC236}">
              <a16:creationId xmlns:a16="http://schemas.microsoft.com/office/drawing/2014/main" id="{00000000-0008-0000-0200-00008D000000}"/>
            </a:ext>
          </a:extLst>
        </xdr:cNvPr>
        <xdr:cNvCxnSpPr/>
      </xdr:nvCxnSpPr>
      <xdr:spPr>
        <a:xfrm flipH="1">
          <a:off x="6721929" y="5089071"/>
          <a:ext cx="2163535" cy="476250"/>
        </a:xfrm>
        <a:prstGeom prst="line">
          <a:avLst/>
        </a:prstGeom>
        <a:ln w="76200" cap="rnd">
          <a:solidFill>
            <a:srgbClr val="000000"/>
          </a:solidFill>
          <a:round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40822</xdr:colOff>
      <xdr:row>23</xdr:row>
      <xdr:rowOff>13607</xdr:rowOff>
    </xdr:from>
    <xdr:to>
      <xdr:col>10</xdr:col>
      <xdr:colOff>1047750</xdr:colOff>
      <xdr:row>24</xdr:row>
      <xdr:rowOff>190500</xdr:rowOff>
    </xdr:to>
    <xdr:cxnSp macro="">
      <xdr:nvCxnSpPr>
        <xdr:cNvPr id="142" name="Straight Connector 141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CxnSpPr/>
      </xdr:nvCxnSpPr>
      <xdr:spPr>
        <a:xfrm flipH="1" flipV="1">
          <a:off x="8654143" y="5116286"/>
          <a:ext cx="1537607" cy="421821"/>
        </a:xfrm>
        <a:prstGeom prst="line">
          <a:avLst/>
        </a:prstGeom>
        <a:ln w="76200" cap="rnd">
          <a:solidFill>
            <a:srgbClr val="000000"/>
          </a:solidFill>
          <a:round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1061357</xdr:colOff>
      <xdr:row>23</xdr:row>
      <xdr:rowOff>0</xdr:rowOff>
    </xdr:from>
    <xdr:to>
      <xdr:col>11</xdr:col>
      <xdr:colOff>517071</xdr:colOff>
      <xdr:row>24</xdr:row>
      <xdr:rowOff>204107</xdr:rowOff>
    </xdr:to>
    <xdr:cxnSp macro="">
      <xdr:nvCxnSpPr>
        <xdr:cNvPr id="145" name="Straight Connector 144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CxnSpPr/>
      </xdr:nvCxnSpPr>
      <xdr:spPr>
        <a:xfrm flipH="1">
          <a:off x="10205357" y="5102679"/>
          <a:ext cx="1741714" cy="449035"/>
        </a:xfrm>
        <a:prstGeom prst="line">
          <a:avLst/>
        </a:prstGeom>
        <a:ln w="76200" cap="rnd">
          <a:solidFill>
            <a:srgbClr val="000000"/>
          </a:solidFill>
          <a:round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13607</xdr:colOff>
      <xdr:row>23</xdr:row>
      <xdr:rowOff>27214</xdr:rowOff>
    </xdr:from>
    <xdr:to>
      <xdr:col>14</xdr:col>
      <xdr:colOff>1020535</xdr:colOff>
      <xdr:row>24</xdr:row>
      <xdr:rowOff>217714</xdr:rowOff>
    </xdr:to>
    <xdr:cxnSp macro="">
      <xdr:nvCxnSpPr>
        <xdr:cNvPr id="146" name="Straight Connector 145">
          <a:extLst>
            <a:ext uri="{FF2B5EF4-FFF2-40B4-BE49-F238E27FC236}">
              <a16:creationId xmlns:a16="http://schemas.microsoft.com/office/drawing/2014/main" id="{00000000-0008-0000-0200-000092000000}"/>
            </a:ext>
          </a:extLst>
        </xdr:cNvPr>
        <xdr:cNvCxnSpPr/>
      </xdr:nvCxnSpPr>
      <xdr:spPr>
        <a:xfrm flipH="1" flipV="1">
          <a:off x="13457464" y="5129893"/>
          <a:ext cx="1537607" cy="435428"/>
        </a:xfrm>
        <a:prstGeom prst="line">
          <a:avLst/>
        </a:prstGeom>
        <a:ln w="76200" cap="rnd">
          <a:solidFill>
            <a:srgbClr val="000000"/>
          </a:solidFill>
          <a:round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27215</xdr:colOff>
      <xdr:row>17</xdr:row>
      <xdr:rowOff>27215</xdr:rowOff>
    </xdr:from>
    <xdr:to>
      <xdr:col>12</xdr:col>
      <xdr:colOff>693965</xdr:colOff>
      <xdr:row>21</xdr:row>
      <xdr:rowOff>190500</xdr:rowOff>
    </xdr:to>
    <xdr:cxnSp macro="">
      <xdr:nvCxnSpPr>
        <xdr:cNvPr id="147" name="Straight Connector 146">
          <a:extLst>
            <a:ext uri="{FF2B5EF4-FFF2-40B4-BE49-F238E27FC236}">
              <a16:creationId xmlns:a16="http://schemas.microsoft.com/office/drawing/2014/main" id="{00000000-0008-0000-0200-000093000000}"/>
            </a:ext>
          </a:extLst>
        </xdr:cNvPr>
        <xdr:cNvCxnSpPr/>
      </xdr:nvCxnSpPr>
      <xdr:spPr>
        <a:xfrm>
          <a:off x="10980965" y="3388179"/>
          <a:ext cx="1279071" cy="938892"/>
        </a:xfrm>
        <a:prstGeom prst="line">
          <a:avLst/>
        </a:prstGeom>
        <a:ln w="76200" cap="rnd">
          <a:solidFill>
            <a:srgbClr val="000000"/>
          </a:solidFill>
          <a:round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721178</xdr:colOff>
      <xdr:row>18</xdr:row>
      <xdr:rowOff>40821</xdr:rowOff>
    </xdr:from>
    <xdr:to>
      <xdr:col>14</xdr:col>
      <xdr:colOff>1006928</xdr:colOff>
      <xdr:row>21</xdr:row>
      <xdr:rowOff>204108</xdr:rowOff>
    </xdr:to>
    <xdr:cxnSp macro="">
      <xdr:nvCxnSpPr>
        <xdr:cNvPr id="148" name="Straight Connector 147">
          <a:extLst>
            <a:ext uri="{FF2B5EF4-FFF2-40B4-BE49-F238E27FC236}">
              <a16:creationId xmlns:a16="http://schemas.microsoft.com/office/drawing/2014/main" id="{00000000-0008-0000-0200-000094000000}"/>
            </a:ext>
          </a:extLst>
        </xdr:cNvPr>
        <xdr:cNvCxnSpPr/>
      </xdr:nvCxnSpPr>
      <xdr:spPr>
        <a:xfrm flipH="1">
          <a:off x="12681857" y="3918857"/>
          <a:ext cx="2299607" cy="898072"/>
        </a:xfrm>
        <a:prstGeom prst="line">
          <a:avLst/>
        </a:prstGeom>
        <a:ln w="76200" cap="rnd">
          <a:solidFill>
            <a:srgbClr val="000000"/>
          </a:solidFill>
          <a:round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693965</xdr:colOff>
      <xdr:row>23</xdr:row>
      <xdr:rowOff>27214</xdr:rowOff>
    </xdr:from>
    <xdr:to>
      <xdr:col>27</xdr:col>
      <xdr:colOff>489857</xdr:colOff>
      <xdr:row>24</xdr:row>
      <xdr:rowOff>217714</xdr:rowOff>
    </xdr:to>
    <xdr:cxnSp macro="">
      <xdr:nvCxnSpPr>
        <xdr:cNvPr id="149" name="Straight Connector 148">
          <a:extLst>
            <a:ext uri="{FF2B5EF4-FFF2-40B4-BE49-F238E27FC236}">
              <a16:creationId xmlns:a16="http://schemas.microsoft.com/office/drawing/2014/main" id="{00000000-0008-0000-0200-000095000000}"/>
            </a:ext>
          </a:extLst>
        </xdr:cNvPr>
        <xdr:cNvCxnSpPr/>
      </xdr:nvCxnSpPr>
      <xdr:spPr>
        <a:xfrm flipH="1">
          <a:off x="26152929" y="5129893"/>
          <a:ext cx="1183821" cy="435428"/>
        </a:xfrm>
        <a:prstGeom prst="line">
          <a:avLst/>
        </a:prstGeom>
        <a:ln w="76200" cap="rnd">
          <a:solidFill>
            <a:srgbClr val="000000"/>
          </a:solidFill>
          <a:round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40821</xdr:colOff>
      <xdr:row>23</xdr:row>
      <xdr:rowOff>13607</xdr:rowOff>
    </xdr:from>
    <xdr:to>
      <xdr:col>30</xdr:col>
      <xdr:colOff>721178</xdr:colOff>
      <xdr:row>24</xdr:row>
      <xdr:rowOff>231322</xdr:rowOff>
    </xdr:to>
    <xdr:cxnSp macro="">
      <xdr:nvCxnSpPr>
        <xdr:cNvPr id="150" name="Straight Connector 149">
          <a:extLst>
            <a:ext uri="{FF2B5EF4-FFF2-40B4-BE49-F238E27FC236}">
              <a16:creationId xmlns:a16="http://schemas.microsoft.com/office/drawing/2014/main" id="{00000000-0008-0000-0200-000096000000}"/>
            </a:ext>
          </a:extLst>
        </xdr:cNvPr>
        <xdr:cNvCxnSpPr/>
      </xdr:nvCxnSpPr>
      <xdr:spPr>
        <a:xfrm flipH="1" flipV="1">
          <a:off x="28901571" y="5116286"/>
          <a:ext cx="1211036" cy="462643"/>
        </a:xfrm>
        <a:prstGeom prst="line">
          <a:avLst/>
        </a:prstGeom>
        <a:ln w="76200" cap="rnd">
          <a:solidFill>
            <a:srgbClr val="000000"/>
          </a:solidFill>
          <a:round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748393</xdr:colOff>
      <xdr:row>18</xdr:row>
      <xdr:rowOff>27215</xdr:rowOff>
    </xdr:from>
    <xdr:to>
      <xdr:col>28</xdr:col>
      <xdr:colOff>748393</xdr:colOff>
      <xdr:row>21</xdr:row>
      <xdr:rowOff>217715</xdr:rowOff>
    </xdr:to>
    <xdr:cxnSp macro="">
      <xdr:nvCxnSpPr>
        <xdr:cNvPr id="151" name="Straight Connector 150">
          <a:extLst>
            <a:ext uri="{FF2B5EF4-FFF2-40B4-BE49-F238E27FC236}">
              <a16:creationId xmlns:a16="http://schemas.microsoft.com/office/drawing/2014/main" id="{00000000-0008-0000-0200-000097000000}"/>
            </a:ext>
          </a:extLst>
        </xdr:cNvPr>
        <xdr:cNvCxnSpPr/>
      </xdr:nvCxnSpPr>
      <xdr:spPr>
        <a:xfrm>
          <a:off x="26207357" y="3905251"/>
          <a:ext cx="1918607" cy="925285"/>
        </a:xfrm>
        <a:prstGeom prst="line">
          <a:avLst/>
        </a:prstGeom>
        <a:ln w="76200" cap="rnd">
          <a:solidFill>
            <a:srgbClr val="000000"/>
          </a:solidFill>
          <a:round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816429</xdr:colOff>
      <xdr:row>18</xdr:row>
      <xdr:rowOff>27214</xdr:rowOff>
    </xdr:from>
    <xdr:to>
      <xdr:col>30</xdr:col>
      <xdr:colOff>666750</xdr:colOff>
      <xdr:row>21</xdr:row>
      <xdr:rowOff>204108</xdr:rowOff>
    </xdr:to>
    <xdr:cxnSp macro="">
      <xdr:nvCxnSpPr>
        <xdr:cNvPr id="152" name="Straight Connector 151">
          <a:extLst>
            <a:ext uri="{FF2B5EF4-FFF2-40B4-BE49-F238E27FC236}">
              <a16:creationId xmlns:a16="http://schemas.microsoft.com/office/drawing/2014/main" id="{00000000-0008-0000-0200-000098000000}"/>
            </a:ext>
          </a:extLst>
        </xdr:cNvPr>
        <xdr:cNvCxnSpPr/>
      </xdr:nvCxnSpPr>
      <xdr:spPr>
        <a:xfrm flipH="1">
          <a:off x="28194000" y="3905250"/>
          <a:ext cx="1864179" cy="911679"/>
        </a:xfrm>
        <a:prstGeom prst="line">
          <a:avLst/>
        </a:prstGeom>
        <a:ln w="76200" cap="rnd">
          <a:solidFill>
            <a:srgbClr val="000000"/>
          </a:solidFill>
          <a:round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476250</xdr:colOff>
      <xdr:row>23</xdr:row>
      <xdr:rowOff>54429</xdr:rowOff>
    </xdr:from>
    <xdr:to>
      <xdr:col>35</xdr:col>
      <xdr:colOff>503465</xdr:colOff>
      <xdr:row>24</xdr:row>
      <xdr:rowOff>176893</xdr:rowOff>
    </xdr:to>
    <xdr:cxnSp macro="">
      <xdr:nvCxnSpPr>
        <xdr:cNvPr id="153" name="Straight Connector 152">
          <a:extLst>
            <a:ext uri="{FF2B5EF4-FFF2-40B4-BE49-F238E27FC236}">
              <a16:creationId xmlns:a16="http://schemas.microsoft.com/office/drawing/2014/main" id="{00000000-0008-0000-0200-000099000000}"/>
            </a:ext>
          </a:extLst>
        </xdr:cNvPr>
        <xdr:cNvCxnSpPr/>
      </xdr:nvCxnSpPr>
      <xdr:spPr>
        <a:xfrm flipH="1">
          <a:off x="32915679" y="5197929"/>
          <a:ext cx="966107" cy="367393"/>
        </a:xfrm>
        <a:prstGeom prst="line">
          <a:avLst/>
        </a:prstGeom>
        <a:ln w="76200" cap="rnd">
          <a:solidFill>
            <a:srgbClr val="000000"/>
          </a:solidFill>
          <a:round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27214</xdr:colOff>
      <xdr:row>23</xdr:row>
      <xdr:rowOff>27214</xdr:rowOff>
    </xdr:from>
    <xdr:to>
      <xdr:col>38</xdr:col>
      <xdr:colOff>435429</xdr:colOff>
      <xdr:row>24</xdr:row>
      <xdr:rowOff>217714</xdr:rowOff>
    </xdr:to>
    <xdr:cxnSp macro="">
      <xdr:nvCxnSpPr>
        <xdr:cNvPr id="154" name="Straight Connector 153">
          <a:extLst>
            <a:ext uri="{FF2B5EF4-FFF2-40B4-BE49-F238E27FC236}">
              <a16:creationId xmlns:a16="http://schemas.microsoft.com/office/drawing/2014/main" id="{00000000-0008-0000-0200-00009A000000}"/>
            </a:ext>
          </a:extLst>
        </xdr:cNvPr>
        <xdr:cNvCxnSpPr/>
      </xdr:nvCxnSpPr>
      <xdr:spPr>
        <a:xfrm flipH="1" flipV="1">
          <a:off x="35120035" y="5129893"/>
          <a:ext cx="938894" cy="435428"/>
        </a:xfrm>
        <a:prstGeom prst="line">
          <a:avLst/>
        </a:prstGeom>
        <a:ln w="76200" cap="rnd">
          <a:solidFill>
            <a:srgbClr val="000000"/>
          </a:solidFill>
          <a:round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503464</xdr:colOff>
      <xdr:row>18</xdr:row>
      <xdr:rowOff>13607</xdr:rowOff>
    </xdr:from>
    <xdr:to>
      <xdr:col>36</xdr:col>
      <xdr:colOff>639536</xdr:colOff>
      <xdr:row>21</xdr:row>
      <xdr:rowOff>231321</xdr:rowOff>
    </xdr:to>
    <xdr:cxnSp macro="">
      <xdr:nvCxnSpPr>
        <xdr:cNvPr id="155" name="Straight Connector 154">
          <a:extLst>
            <a:ext uri="{FF2B5EF4-FFF2-40B4-BE49-F238E27FC236}">
              <a16:creationId xmlns:a16="http://schemas.microsoft.com/office/drawing/2014/main" id="{00000000-0008-0000-0200-00009B000000}"/>
            </a:ext>
          </a:extLst>
        </xdr:cNvPr>
        <xdr:cNvCxnSpPr/>
      </xdr:nvCxnSpPr>
      <xdr:spPr>
        <a:xfrm>
          <a:off x="32942893" y="3891643"/>
          <a:ext cx="1605643" cy="952499"/>
        </a:xfrm>
        <a:prstGeom prst="line">
          <a:avLst/>
        </a:prstGeom>
        <a:ln w="76200" cap="rnd">
          <a:solidFill>
            <a:srgbClr val="000000"/>
          </a:solidFill>
          <a:round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639536</xdr:colOff>
      <xdr:row>18</xdr:row>
      <xdr:rowOff>27214</xdr:rowOff>
    </xdr:from>
    <xdr:to>
      <xdr:col>38</xdr:col>
      <xdr:colOff>462643</xdr:colOff>
      <xdr:row>21</xdr:row>
      <xdr:rowOff>217715</xdr:rowOff>
    </xdr:to>
    <xdr:cxnSp macro="">
      <xdr:nvCxnSpPr>
        <xdr:cNvPr id="156" name="Straight Connector 155">
          <a:extLst>
            <a:ext uri="{FF2B5EF4-FFF2-40B4-BE49-F238E27FC236}">
              <a16:creationId xmlns:a16="http://schemas.microsoft.com/office/drawing/2014/main" id="{00000000-0008-0000-0200-00009C000000}"/>
            </a:ext>
          </a:extLst>
        </xdr:cNvPr>
        <xdr:cNvCxnSpPr/>
      </xdr:nvCxnSpPr>
      <xdr:spPr>
        <a:xfrm flipH="1">
          <a:off x="34548536" y="3905250"/>
          <a:ext cx="1537607" cy="925286"/>
        </a:xfrm>
        <a:prstGeom prst="line">
          <a:avLst/>
        </a:prstGeom>
        <a:ln w="76200" cap="rnd">
          <a:solidFill>
            <a:srgbClr val="000000"/>
          </a:solidFill>
          <a:round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734785</xdr:colOff>
      <xdr:row>3</xdr:row>
      <xdr:rowOff>40822</xdr:rowOff>
    </xdr:from>
    <xdr:to>
      <xdr:col>31</xdr:col>
      <xdr:colOff>489857</xdr:colOff>
      <xdr:row>9</xdr:row>
      <xdr:rowOff>176893</xdr:rowOff>
    </xdr:to>
    <xdr:cxnSp macro="">
      <xdr:nvCxnSpPr>
        <xdr:cNvPr id="157" name="Straight Connector 156">
          <a:extLst>
            <a:ext uri="{FF2B5EF4-FFF2-40B4-BE49-F238E27FC236}">
              <a16:creationId xmlns:a16="http://schemas.microsoft.com/office/drawing/2014/main" id="{00000000-0008-0000-0200-00009D000000}"/>
            </a:ext>
          </a:extLst>
        </xdr:cNvPr>
        <xdr:cNvCxnSpPr/>
      </xdr:nvCxnSpPr>
      <xdr:spPr>
        <a:xfrm flipV="1">
          <a:off x="30126214" y="639536"/>
          <a:ext cx="1238250" cy="1306286"/>
        </a:xfrm>
        <a:prstGeom prst="line">
          <a:avLst/>
        </a:prstGeom>
        <a:ln w="76200" cap="rnd">
          <a:solidFill>
            <a:srgbClr val="000000"/>
          </a:solidFill>
          <a:round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680357</xdr:colOff>
      <xdr:row>3</xdr:row>
      <xdr:rowOff>27215</xdr:rowOff>
    </xdr:from>
    <xdr:to>
      <xdr:col>31</xdr:col>
      <xdr:colOff>476250</xdr:colOff>
      <xdr:row>9</xdr:row>
      <xdr:rowOff>176892</xdr:rowOff>
    </xdr:to>
    <xdr:cxnSp macro="">
      <xdr:nvCxnSpPr>
        <xdr:cNvPr id="159" name="Straight Connector 158">
          <a:extLst>
            <a:ext uri="{FF2B5EF4-FFF2-40B4-BE49-F238E27FC236}">
              <a16:creationId xmlns:a16="http://schemas.microsoft.com/office/drawing/2014/main" id="{00000000-0008-0000-0200-00009F000000}"/>
            </a:ext>
          </a:extLst>
        </xdr:cNvPr>
        <xdr:cNvCxnSpPr/>
      </xdr:nvCxnSpPr>
      <xdr:spPr>
        <a:xfrm flipV="1">
          <a:off x="26139321" y="625929"/>
          <a:ext cx="5211536" cy="1319892"/>
        </a:xfrm>
        <a:prstGeom prst="line">
          <a:avLst/>
        </a:prstGeom>
        <a:ln w="76200" cap="rnd">
          <a:solidFill>
            <a:srgbClr val="000000"/>
          </a:solidFill>
          <a:round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0</xdr:colOff>
      <xdr:row>3</xdr:row>
      <xdr:rowOff>27215</xdr:rowOff>
    </xdr:from>
    <xdr:to>
      <xdr:col>38</xdr:col>
      <xdr:colOff>489857</xdr:colOff>
      <xdr:row>9</xdr:row>
      <xdr:rowOff>163285</xdr:rowOff>
    </xdr:to>
    <xdr:cxnSp macro="">
      <xdr:nvCxnSpPr>
        <xdr:cNvPr id="161" name="Straight Connector 160">
          <a:extLst>
            <a:ext uri="{FF2B5EF4-FFF2-40B4-BE49-F238E27FC236}">
              <a16:creationId xmlns:a16="http://schemas.microsoft.com/office/drawing/2014/main" id="{00000000-0008-0000-0200-0000A1000000}"/>
            </a:ext>
          </a:extLst>
        </xdr:cNvPr>
        <xdr:cNvCxnSpPr/>
      </xdr:nvCxnSpPr>
      <xdr:spPr>
        <a:xfrm flipH="1" flipV="1">
          <a:off x="31486929" y="625929"/>
          <a:ext cx="4626428" cy="1306285"/>
        </a:xfrm>
        <a:prstGeom prst="line">
          <a:avLst/>
        </a:prstGeom>
        <a:ln w="76200" cap="rnd">
          <a:solidFill>
            <a:srgbClr val="000000"/>
          </a:solidFill>
          <a:round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557893</xdr:colOff>
      <xdr:row>3</xdr:row>
      <xdr:rowOff>27215</xdr:rowOff>
    </xdr:from>
    <xdr:to>
      <xdr:col>34</xdr:col>
      <xdr:colOff>476250</xdr:colOff>
      <xdr:row>9</xdr:row>
      <xdr:rowOff>176892</xdr:rowOff>
    </xdr:to>
    <xdr:cxnSp macro="">
      <xdr:nvCxnSpPr>
        <xdr:cNvPr id="163" name="Straight Connector 162">
          <a:extLst>
            <a:ext uri="{FF2B5EF4-FFF2-40B4-BE49-F238E27FC236}">
              <a16:creationId xmlns:a16="http://schemas.microsoft.com/office/drawing/2014/main" id="{00000000-0008-0000-0200-0000A3000000}"/>
            </a:ext>
          </a:extLst>
        </xdr:cNvPr>
        <xdr:cNvCxnSpPr/>
      </xdr:nvCxnSpPr>
      <xdr:spPr>
        <a:xfrm flipH="1" flipV="1">
          <a:off x="31432500" y="625929"/>
          <a:ext cx="1483179" cy="1319892"/>
        </a:xfrm>
        <a:prstGeom prst="line">
          <a:avLst/>
        </a:prstGeom>
        <a:ln w="76200" cap="rnd">
          <a:solidFill>
            <a:srgbClr val="000000"/>
          </a:solidFill>
          <a:round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966108</xdr:colOff>
      <xdr:row>18</xdr:row>
      <xdr:rowOff>27214</xdr:rowOff>
    </xdr:from>
    <xdr:to>
      <xdr:col>20</xdr:col>
      <xdr:colOff>884464</xdr:colOff>
      <xdr:row>21</xdr:row>
      <xdr:rowOff>217715</xdr:rowOff>
    </xdr:to>
    <xdr:cxnSp macro="">
      <xdr:nvCxnSpPr>
        <xdr:cNvPr id="165" name="Straight Connector 164">
          <a:extLst>
            <a:ext uri="{FF2B5EF4-FFF2-40B4-BE49-F238E27FC236}">
              <a16:creationId xmlns:a16="http://schemas.microsoft.com/office/drawing/2014/main" id="{00000000-0008-0000-0200-0000A5000000}"/>
            </a:ext>
          </a:extLst>
        </xdr:cNvPr>
        <xdr:cNvCxnSpPr/>
      </xdr:nvCxnSpPr>
      <xdr:spPr>
        <a:xfrm>
          <a:off x="17866179" y="3905250"/>
          <a:ext cx="2843892" cy="925286"/>
        </a:xfrm>
        <a:prstGeom prst="line">
          <a:avLst/>
        </a:prstGeom>
        <a:ln w="76200" cap="rnd">
          <a:solidFill>
            <a:srgbClr val="000000"/>
          </a:solidFill>
          <a:round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952500</xdr:colOff>
      <xdr:row>18</xdr:row>
      <xdr:rowOff>54428</xdr:rowOff>
    </xdr:from>
    <xdr:to>
      <xdr:col>23</xdr:col>
      <xdr:colOff>884464</xdr:colOff>
      <xdr:row>21</xdr:row>
      <xdr:rowOff>204108</xdr:rowOff>
    </xdr:to>
    <xdr:cxnSp macro="">
      <xdr:nvCxnSpPr>
        <xdr:cNvPr id="167" name="Straight Connector 166">
          <a:extLst>
            <a:ext uri="{FF2B5EF4-FFF2-40B4-BE49-F238E27FC236}">
              <a16:creationId xmlns:a16="http://schemas.microsoft.com/office/drawing/2014/main" id="{00000000-0008-0000-0200-0000A7000000}"/>
            </a:ext>
          </a:extLst>
        </xdr:cNvPr>
        <xdr:cNvCxnSpPr/>
      </xdr:nvCxnSpPr>
      <xdr:spPr>
        <a:xfrm flipV="1">
          <a:off x="20778107" y="3932464"/>
          <a:ext cx="2639786" cy="884465"/>
        </a:xfrm>
        <a:prstGeom prst="line">
          <a:avLst/>
        </a:prstGeom>
        <a:ln w="76200" cap="rnd">
          <a:solidFill>
            <a:srgbClr val="000000"/>
          </a:solidFill>
          <a:round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27215</xdr:colOff>
      <xdr:row>23</xdr:row>
      <xdr:rowOff>0</xdr:rowOff>
    </xdr:from>
    <xdr:to>
      <xdr:col>23</xdr:col>
      <xdr:colOff>1061357</xdr:colOff>
      <xdr:row>24</xdr:row>
      <xdr:rowOff>217714</xdr:rowOff>
    </xdr:to>
    <xdr:cxnSp macro="">
      <xdr:nvCxnSpPr>
        <xdr:cNvPr id="169" name="Straight Connector 168">
          <a:extLst>
            <a:ext uri="{FF2B5EF4-FFF2-40B4-BE49-F238E27FC236}">
              <a16:creationId xmlns:a16="http://schemas.microsoft.com/office/drawing/2014/main" id="{00000000-0008-0000-0200-0000A9000000}"/>
            </a:ext>
          </a:extLst>
        </xdr:cNvPr>
        <xdr:cNvCxnSpPr/>
      </xdr:nvCxnSpPr>
      <xdr:spPr>
        <a:xfrm>
          <a:off x="21676179" y="5143500"/>
          <a:ext cx="1918607" cy="462643"/>
        </a:xfrm>
        <a:prstGeom prst="line">
          <a:avLst/>
        </a:prstGeom>
        <a:ln w="76200" cap="rnd">
          <a:solidFill>
            <a:srgbClr val="000000"/>
          </a:solidFill>
          <a:round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1034143</xdr:colOff>
      <xdr:row>23</xdr:row>
      <xdr:rowOff>27214</xdr:rowOff>
    </xdr:from>
    <xdr:to>
      <xdr:col>19</xdr:col>
      <xdr:colOff>489857</xdr:colOff>
      <xdr:row>24</xdr:row>
      <xdr:rowOff>231321</xdr:rowOff>
    </xdr:to>
    <xdr:cxnSp macro="">
      <xdr:nvCxnSpPr>
        <xdr:cNvPr id="171" name="Straight Connector 170">
          <a:extLst>
            <a:ext uri="{FF2B5EF4-FFF2-40B4-BE49-F238E27FC236}">
              <a16:creationId xmlns:a16="http://schemas.microsoft.com/office/drawing/2014/main" id="{00000000-0008-0000-0200-0000AB000000}"/>
            </a:ext>
          </a:extLst>
        </xdr:cNvPr>
        <xdr:cNvCxnSpPr/>
      </xdr:nvCxnSpPr>
      <xdr:spPr>
        <a:xfrm flipV="1">
          <a:off x="17934214" y="5129893"/>
          <a:ext cx="1850572" cy="449035"/>
        </a:xfrm>
        <a:prstGeom prst="line">
          <a:avLst/>
        </a:prstGeom>
        <a:ln w="76200" cap="rnd">
          <a:solidFill>
            <a:srgbClr val="000000"/>
          </a:solidFill>
          <a:round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19051</xdr:colOff>
      <xdr:row>22</xdr:row>
      <xdr:rowOff>209546</xdr:rowOff>
    </xdr:from>
    <xdr:to>
      <xdr:col>7</xdr:col>
      <xdr:colOff>1211036</xdr:colOff>
      <xdr:row>22</xdr:row>
      <xdr:rowOff>217714</xdr:rowOff>
    </xdr:to>
    <xdr:cxnSp macro="">
      <xdr:nvCxnSpPr>
        <xdr:cNvPr id="173" name="Straight Connector 172">
          <a:extLst>
            <a:ext uri="{FF2B5EF4-FFF2-40B4-BE49-F238E27FC236}">
              <a16:creationId xmlns:a16="http://schemas.microsoft.com/office/drawing/2014/main" id="{00000000-0008-0000-0200-0000AD000000}"/>
            </a:ext>
          </a:extLst>
        </xdr:cNvPr>
        <xdr:cNvCxnSpPr/>
      </xdr:nvCxnSpPr>
      <xdr:spPr>
        <a:xfrm>
          <a:off x="4944837" y="5067296"/>
          <a:ext cx="3205842" cy="8168"/>
        </a:xfrm>
        <a:prstGeom prst="line">
          <a:avLst/>
        </a:prstGeom>
        <a:ln w="76200" cap="rnd">
          <a:solidFill>
            <a:srgbClr val="000000"/>
          </a:solidFill>
          <a:round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27215</xdr:colOff>
      <xdr:row>22</xdr:row>
      <xdr:rowOff>204107</xdr:rowOff>
    </xdr:from>
    <xdr:to>
      <xdr:col>11</xdr:col>
      <xdr:colOff>503464</xdr:colOff>
      <xdr:row>22</xdr:row>
      <xdr:rowOff>217714</xdr:rowOff>
    </xdr:to>
    <xdr:cxnSp macro="">
      <xdr:nvCxnSpPr>
        <xdr:cNvPr id="175" name="Straight Connector 174">
          <a:extLst>
            <a:ext uri="{FF2B5EF4-FFF2-40B4-BE49-F238E27FC236}">
              <a16:creationId xmlns:a16="http://schemas.microsoft.com/office/drawing/2014/main" id="{00000000-0008-0000-0200-0000AF000000}"/>
            </a:ext>
          </a:extLst>
        </xdr:cNvPr>
        <xdr:cNvCxnSpPr/>
      </xdr:nvCxnSpPr>
      <xdr:spPr>
        <a:xfrm>
          <a:off x="9361715" y="5061857"/>
          <a:ext cx="3469820" cy="13607"/>
        </a:xfrm>
        <a:prstGeom prst="line">
          <a:avLst/>
        </a:prstGeom>
        <a:ln w="76200" cap="rnd">
          <a:solidFill>
            <a:srgbClr val="000000"/>
          </a:solidFill>
          <a:round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13607</xdr:colOff>
      <xdr:row>23</xdr:row>
      <xdr:rowOff>0</xdr:rowOff>
    </xdr:from>
    <xdr:to>
      <xdr:col>19</xdr:col>
      <xdr:colOff>489857</xdr:colOff>
      <xdr:row>23</xdr:row>
      <xdr:rowOff>0</xdr:rowOff>
    </xdr:to>
    <xdr:cxnSp macro="">
      <xdr:nvCxnSpPr>
        <xdr:cNvPr id="176" name="Straight Connector 175">
          <a:extLst>
            <a:ext uri="{FF2B5EF4-FFF2-40B4-BE49-F238E27FC236}">
              <a16:creationId xmlns:a16="http://schemas.microsoft.com/office/drawing/2014/main" id="{00000000-0008-0000-0200-0000B0000000}"/>
            </a:ext>
          </a:extLst>
        </xdr:cNvPr>
        <xdr:cNvCxnSpPr/>
      </xdr:nvCxnSpPr>
      <xdr:spPr>
        <a:xfrm>
          <a:off x="13457464" y="5102679"/>
          <a:ext cx="6327322" cy="0"/>
        </a:xfrm>
        <a:prstGeom prst="line">
          <a:avLst/>
        </a:prstGeom>
        <a:ln w="76200" cap="rnd">
          <a:solidFill>
            <a:srgbClr val="000000"/>
          </a:solidFill>
          <a:round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13607</xdr:colOff>
      <xdr:row>22</xdr:row>
      <xdr:rowOff>176893</xdr:rowOff>
    </xdr:from>
    <xdr:to>
      <xdr:col>27</xdr:col>
      <xdr:colOff>503464</xdr:colOff>
      <xdr:row>22</xdr:row>
      <xdr:rowOff>231321</xdr:rowOff>
    </xdr:to>
    <xdr:cxnSp macro="">
      <xdr:nvCxnSpPr>
        <xdr:cNvPr id="178" name="Straight Connector 177">
          <a:extLst>
            <a:ext uri="{FF2B5EF4-FFF2-40B4-BE49-F238E27FC236}">
              <a16:creationId xmlns:a16="http://schemas.microsoft.com/office/drawing/2014/main" id="{00000000-0008-0000-0200-0000B2000000}"/>
            </a:ext>
          </a:extLst>
        </xdr:cNvPr>
        <xdr:cNvCxnSpPr/>
      </xdr:nvCxnSpPr>
      <xdr:spPr>
        <a:xfrm>
          <a:off x="21662571" y="5034643"/>
          <a:ext cx="5687786" cy="54428"/>
        </a:xfrm>
        <a:prstGeom prst="line">
          <a:avLst/>
        </a:prstGeom>
        <a:ln w="76200" cap="rnd">
          <a:solidFill>
            <a:srgbClr val="000000"/>
          </a:solidFill>
          <a:round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40821</xdr:colOff>
      <xdr:row>23</xdr:row>
      <xdr:rowOff>0</xdr:rowOff>
    </xdr:from>
    <xdr:to>
      <xdr:col>31</xdr:col>
      <xdr:colOff>557893</xdr:colOff>
      <xdr:row>23</xdr:row>
      <xdr:rowOff>13607</xdr:rowOff>
    </xdr:to>
    <xdr:cxnSp macro="">
      <xdr:nvCxnSpPr>
        <xdr:cNvPr id="180" name="Straight Connector 179">
          <a:extLst>
            <a:ext uri="{FF2B5EF4-FFF2-40B4-BE49-F238E27FC236}">
              <a16:creationId xmlns:a16="http://schemas.microsoft.com/office/drawing/2014/main" id="{00000000-0008-0000-0200-0000B4000000}"/>
            </a:ext>
          </a:extLst>
        </xdr:cNvPr>
        <xdr:cNvCxnSpPr/>
      </xdr:nvCxnSpPr>
      <xdr:spPr>
        <a:xfrm>
          <a:off x="28901571" y="5102679"/>
          <a:ext cx="2530929" cy="13607"/>
        </a:xfrm>
        <a:prstGeom prst="line">
          <a:avLst/>
        </a:prstGeom>
        <a:ln w="76200" cap="rnd">
          <a:solidFill>
            <a:srgbClr val="000000"/>
          </a:solidFill>
          <a:round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40821</xdr:colOff>
      <xdr:row>22</xdr:row>
      <xdr:rowOff>231321</xdr:rowOff>
    </xdr:from>
    <xdr:to>
      <xdr:col>35</xdr:col>
      <xdr:colOff>503465</xdr:colOff>
      <xdr:row>23</xdr:row>
      <xdr:rowOff>0</xdr:rowOff>
    </xdr:to>
    <xdr:cxnSp macro="">
      <xdr:nvCxnSpPr>
        <xdr:cNvPr id="182" name="Straight Connector 181">
          <a:extLst>
            <a:ext uri="{FF2B5EF4-FFF2-40B4-BE49-F238E27FC236}">
              <a16:creationId xmlns:a16="http://schemas.microsoft.com/office/drawing/2014/main" id="{00000000-0008-0000-0200-0000B6000000}"/>
            </a:ext>
          </a:extLst>
        </xdr:cNvPr>
        <xdr:cNvCxnSpPr/>
      </xdr:nvCxnSpPr>
      <xdr:spPr>
        <a:xfrm>
          <a:off x="31949571" y="5089071"/>
          <a:ext cx="1932215" cy="13608"/>
        </a:xfrm>
        <a:prstGeom prst="line">
          <a:avLst/>
        </a:prstGeom>
        <a:ln w="76200" cap="rnd">
          <a:solidFill>
            <a:srgbClr val="000000"/>
          </a:solidFill>
          <a:round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27214</xdr:colOff>
      <xdr:row>11</xdr:row>
      <xdr:rowOff>27214</xdr:rowOff>
    </xdr:from>
    <xdr:to>
      <xdr:col>5</xdr:col>
      <xdr:colOff>489857</xdr:colOff>
      <xdr:row>17</xdr:row>
      <xdr:rowOff>0</xdr:rowOff>
    </xdr:to>
    <xdr:cxnSp macro="">
      <xdr:nvCxnSpPr>
        <xdr:cNvPr id="183" name="Straight Connector 182">
          <a:extLst>
            <a:ext uri="{FF2B5EF4-FFF2-40B4-BE49-F238E27FC236}">
              <a16:creationId xmlns:a16="http://schemas.microsoft.com/office/drawing/2014/main" id="{00000000-0008-0000-0200-0000B7000000}"/>
            </a:ext>
          </a:extLst>
        </xdr:cNvPr>
        <xdr:cNvCxnSpPr/>
      </xdr:nvCxnSpPr>
      <xdr:spPr>
        <a:xfrm flipH="1">
          <a:off x="2911928" y="2190750"/>
          <a:ext cx="2503715" cy="1442357"/>
        </a:xfrm>
        <a:prstGeom prst="line">
          <a:avLst/>
        </a:prstGeom>
        <a:ln w="76200" cap="rnd">
          <a:solidFill>
            <a:srgbClr val="000000"/>
          </a:solidFill>
          <a:round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10887</xdr:colOff>
      <xdr:row>17</xdr:row>
      <xdr:rowOff>10885</xdr:rowOff>
    </xdr:from>
    <xdr:to>
      <xdr:col>7</xdr:col>
      <xdr:colOff>1224643</xdr:colOff>
      <xdr:row>17</xdr:row>
      <xdr:rowOff>13607</xdr:rowOff>
    </xdr:to>
    <xdr:cxnSp macro="">
      <xdr:nvCxnSpPr>
        <xdr:cNvPr id="185" name="Straight Connector 184">
          <a:extLst>
            <a:ext uri="{FF2B5EF4-FFF2-40B4-BE49-F238E27FC236}">
              <a16:creationId xmlns:a16="http://schemas.microsoft.com/office/drawing/2014/main" id="{00000000-0008-0000-0200-0000B9000000}"/>
            </a:ext>
          </a:extLst>
        </xdr:cNvPr>
        <xdr:cNvCxnSpPr/>
      </xdr:nvCxnSpPr>
      <xdr:spPr>
        <a:xfrm>
          <a:off x="6950530" y="3643992"/>
          <a:ext cx="1213756" cy="2722"/>
        </a:xfrm>
        <a:prstGeom prst="line">
          <a:avLst/>
        </a:prstGeom>
        <a:ln w="76200" cap="rnd">
          <a:solidFill>
            <a:srgbClr val="000000"/>
          </a:solidFill>
          <a:round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40822</xdr:colOff>
      <xdr:row>17</xdr:row>
      <xdr:rowOff>0</xdr:rowOff>
    </xdr:from>
    <xdr:to>
      <xdr:col>9</xdr:col>
      <xdr:colOff>503465</xdr:colOff>
      <xdr:row>17</xdr:row>
      <xdr:rowOff>0</xdr:rowOff>
    </xdr:to>
    <xdr:cxnSp macro="">
      <xdr:nvCxnSpPr>
        <xdr:cNvPr id="187" name="Straight Connector 186">
          <a:extLst>
            <a:ext uri="{FF2B5EF4-FFF2-40B4-BE49-F238E27FC236}">
              <a16:creationId xmlns:a16="http://schemas.microsoft.com/office/drawing/2014/main" id="{00000000-0008-0000-0200-0000BB000000}"/>
            </a:ext>
          </a:extLst>
        </xdr:cNvPr>
        <xdr:cNvCxnSpPr/>
      </xdr:nvCxnSpPr>
      <xdr:spPr>
        <a:xfrm>
          <a:off x="8654143" y="3633107"/>
          <a:ext cx="462643" cy="0"/>
        </a:xfrm>
        <a:prstGeom prst="line">
          <a:avLst/>
        </a:prstGeom>
        <a:ln w="76200" cap="rnd">
          <a:solidFill>
            <a:srgbClr val="000000"/>
          </a:solidFill>
          <a:round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217714</xdr:colOff>
      <xdr:row>18</xdr:row>
      <xdr:rowOff>13607</xdr:rowOff>
    </xdr:from>
    <xdr:to>
      <xdr:col>8</xdr:col>
      <xdr:colOff>217714</xdr:colOff>
      <xdr:row>21</xdr:row>
      <xdr:rowOff>231322</xdr:rowOff>
    </xdr:to>
    <xdr:cxnSp macro="">
      <xdr:nvCxnSpPr>
        <xdr:cNvPr id="188" name="Straight Connector 187">
          <a:extLst>
            <a:ext uri="{FF2B5EF4-FFF2-40B4-BE49-F238E27FC236}">
              <a16:creationId xmlns:a16="http://schemas.microsoft.com/office/drawing/2014/main" id="{00000000-0008-0000-0200-0000BC000000}"/>
            </a:ext>
          </a:extLst>
        </xdr:cNvPr>
        <xdr:cNvCxnSpPr/>
      </xdr:nvCxnSpPr>
      <xdr:spPr>
        <a:xfrm>
          <a:off x="8409214" y="3891643"/>
          <a:ext cx="0" cy="952500"/>
        </a:xfrm>
        <a:prstGeom prst="line">
          <a:avLst/>
        </a:prstGeom>
        <a:ln w="76200" cap="rnd">
          <a:solidFill>
            <a:srgbClr val="000000"/>
          </a:solidFill>
          <a:round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870857</xdr:colOff>
      <xdr:row>29</xdr:row>
      <xdr:rowOff>13607</xdr:rowOff>
    </xdr:from>
    <xdr:to>
      <xdr:col>5</xdr:col>
      <xdr:colOff>527957</xdr:colOff>
      <xdr:row>33</xdr:row>
      <xdr:rowOff>231322</xdr:rowOff>
    </xdr:to>
    <xdr:cxnSp macro="">
      <xdr:nvCxnSpPr>
        <xdr:cNvPr id="190" name="Straight Connector 189">
          <a:extLst>
            <a:ext uri="{FF2B5EF4-FFF2-40B4-BE49-F238E27FC236}">
              <a16:creationId xmlns:a16="http://schemas.microsoft.com/office/drawing/2014/main" id="{00000000-0008-0000-0200-0000BE000000}"/>
            </a:ext>
          </a:extLst>
        </xdr:cNvPr>
        <xdr:cNvCxnSpPr/>
      </xdr:nvCxnSpPr>
      <xdr:spPr>
        <a:xfrm flipH="1">
          <a:off x="1986643" y="6585857"/>
          <a:ext cx="3467100" cy="1197429"/>
        </a:xfrm>
        <a:prstGeom prst="line">
          <a:avLst/>
        </a:prstGeom>
        <a:ln w="76200" cap="rnd">
          <a:solidFill>
            <a:srgbClr val="000000"/>
          </a:solidFill>
          <a:round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27215</xdr:colOff>
      <xdr:row>41</xdr:row>
      <xdr:rowOff>27214</xdr:rowOff>
    </xdr:from>
    <xdr:to>
      <xdr:col>3</xdr:col>
      <xdr:colOff>517072</xdr:colOff>
      <xdr:row>41</xdr:row>
      <xdr:rowOff>27214</xdr:rowOff>
    </xdr:to>
    <xdr:cxnSp macro="">
      <xdr:nvCxnSpPr>
        <xdr:cNvPr id="197" name="Straight Connector 196">
          <a:extLst>
            <a:ext uri="{FF2B5EF4-FFF2-40B4-BE49-F238E27FC236}">
              <a16:creationId xmlns:a16="http://schemas.microsoft.com/office/drawing/2014/main" id="{00000000-0008-0000-0200-0000C5000000}"/>
            </a:ext>
          </a:extLst>
        </xdr:cNvPr>
        <xdr:cNvCxnSpPr/>
      </xdr:nvCxnSpPr>
      <xdr:spPr>
        <a:xfrm>
          <a:off x="2911929" y="9538607"/>
          <a:ext cx="489857" cy="0"/>
        </a:xfrm>
        <a:prstGeom prst="line">
          <a:avLst/>
        </a:prstGeom>
        <a:ln w="76200" cap="rnd">
          <a:solidFill>
            <a:srgbClr val="000000"/>
          </a:solidFill>
          <a:round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27214</xdr:colOff>
      <xdr:row>40</xdr:row>
      <xdr:rowOff>217715</xdr:rowOff>
    </xdr:from>
    <xdr:to>
      <xdr:col>9</xdr:col>
      <xdr:colOff>503465</xdr:colOff>
      <xdr:row>44</xdr:row>
      <xdr:rowOff>204107</xdr:rowOff>
    </xdr:to>
    <xdr:cxnSp macro="">
      <xdr:nvCxnSpPr>
        <xdr:cNvPr id="199" name="Straight Connector 198">
          <a:extLst>
            <a:ext uri="{FF2B5EF4-FFF2-40B4-BE49-F238E27FC236}">
              <a16:creationId xmlns:a16="http://schemas.microsoft.com/office/drawing/2014/main" id="{00000000-0008-0000-0200-0000C7000000}"/>
            </a:ext>
          </a:extLst>
        </xdr:cNvPr>
        <xdr:cNvCxnSpPr/>
      </xdr:nvCxnSpPr>
      <xdr:spPr>
        <a:xfrm flipH="1" flipV="1">
          <a:off x="5361214" y="9484179"/>
          <a:ext cx="4476751" cy="966107"/>
        </a:xfrm>
        <a:prstGeom prst="line">
          <a:avLst/>
        </a:prstGeom>
        <a:ln w="76200" cap="rnd">
          <a:solidFill>
            <a:srgbClr val="000000"/>
          </a:solidFill>
          <a:round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857250</xdr:colOff>
      <xdr:row>42</xdr:row>
      <xdr:rowOff>27215</xdr:rowOff>
    </xdr:from>
    <xdr:to>
      <xdr:col>9</xdr:col>
      <xdr:colOff>503465</xdr:colOff>
      <xdr:row>45</xdr:row>
      <xdr:rowOff>13607</xdr:rowOff>
    </xdr:to>
    <xdr:cxnSp macro="">
      <xdr:nvCxnSpPr>
        <xdr:cNvPr id="201" name="Straight Connector 200">
          <a:extLst>
            <a:ext uri="{FF2B5EF4-FFF2-40B4-BE49-F238E27FC236}">
              <a16:creationId xmlns:a16="http://schemas.microsoft.com/office/drawing/2014/main" id="{00000000-0008-0000-0200-0000C9000000}"/>
            </a:ext>
          </a:extLst>
        </xdr:cNvPr>
        <xdr:cNvCxnSpPr/>
      </xdr:nvCxnSpPr>
      <xdr:spPr>
        <a:xfrm flipH="1" flipV="1">
          <a:off x="1973036" y="9783536"/>
          <a:ext cx="7143750" cy="721178"/>
        </a:xfrm>
        <a:prstGeom prst="line">
          <a:avLst/>
        </a:prstGeom>
        <a:ln w="76200" cap="rnd">
          <a:solidFill>
            <a:srgbClr val="000000"/>
          </a:solidFill>
          <a:round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40821</xdr:colOff>
      <xdr:row>42</xdr:row>
      <xdr:rowOff>40822</xdr:rowOff>
    </xdr:from>
    <xdr:to>
      <xdr:col>12</xdr:col>
      <xdr:colOff>693964</xdr:colOff>
      <xdr:row>45</xdr:row>
      <xdr:rowOff>13607</xdr:rowOff>
    </xdr:to>
    <xdr:cxnSp macro="">
      <xdr:nvCxnSpPr>
        <xdr:cNvPr id="204" name="Straight Connector 203">
          <a:extLst>
            <a:ext uri="{FF2B5EF4-FFF2-40B4-BE49-F238E27FC236}">
              <a16:creationId xmlns:a16="http://schemas.microsoft.com/office/drawing/2014/main" id="{00000000-0008-0000-0200-0000CC000000}"/>
            </a:ext>
          </a:extLst>
        </xdr:cNvPr>
        <xdr:cNvCxnSpPr/>
      </xdr:nvCxnSpPr>
      <xdr:spPr>
        <a:xfrm flipV="1">
          <a:off x="11470821" y="9797143"/>
          <a:ext cx="1183822" cy="707571"/>
        </a:xfrm>
        <a:prstGeom prst="line">
          <a:avLst/>
        </a:prstGeom>
        <a:ln w="76200" cap="rnd">
          <a:solidFill>
            <a:srgbClr val="2AAC4C"/>
          </a:solidFill>
          <a:round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13608</xdr:colOff>
      <xdr:row>29</xdr:row>
      <xdr:rowOff>13607</xdr:rowOff>
    </xdr:from>
    <xdr:to>
      <xdr:col>14</xdr:col>
      <xdr:colOff>1020535</xdr:colOff>
      <xdr:row>33</xdr:row>
      <xdr:rowOff>231321</xdr:rowOff>
    </xdr:to>
    <xdr:cxnSp macro="">
      <xdr:nvCxnSpPr>
        <xdr:cNvPr id="206" name="Straight Connector 205">
          <a:extLst>
            <a:ext uri="{FF2B5EF4-FFF2-40B4-BE49-F238E27FC236}">
              <a16:creationId xmlns:a16="http://schemas.microsoft.com/office/drawing/2014/main" id="{00000000-0008-0000-0200-0000CE000000}"/>
            </a:ext>
          </a:extLst>
        </xdr:cNvPr>
        <xdr:cNvCxnSpPr/>
      </xdr:nvCxnSpPr>
      <xdr:spPr>
        <a:xfrm flipH="1" flipV="1">
          <a:off x="12341679" y="6585857"/>
          <a:ext cx="3769177" cy="1197428"/>
        </a:xfrm>
        <a:prstGeom prst="line">
          <a:avLst/>
        </a:prstGeom>
        <a:ln w="76200" cap="rnd">
          <a:solidFill>
            <a:srgbClr val="000000"/>
          </a:solidFill>
          <a:round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</xdr:colOff>
      <xdr:row>29</xdr:row>
      <xdr:rowOff>13605</xdr:rowOff>
    </xdr:from>
    <xdr:to>
      <xdr:col>16</xdr:col>
      <xdr:colOff>598715</xdr:colOff>
      <xdr:row>29</xdr:row>
      <xdr:rowOff>13607</xdr:rowOff>
    </xdr:to>
    <xdr:cxnSp macro="">
      <xdr:nvCxnSpPr>
        <xdr:cNvPr id="208" name="Straight Connector 207">
          <a:extLst>
            <a:ext uri="{FF2B5EF4-FFF2-40B4-BE49-F238E27FC236}">
              <a16:creationId xmlns:a16="http://schemas.microsoft.com/office/drawing/2014/main" id="{00000000-0008-0000-0200-0000D0000000}"/>
            </a:ext>
          </a:extLst>
        </xdr:cNvPr>
        <xdr:cNvCxnSpPr/>
      </xdr:nvCxnSpPr>
      <xdr:spPr>
        <a:xfrm>
          <a:off x="8572502" y="5742212"/>
          <a:ext cx="1211034" cy="2"/>
        </a:xfrm>
        <a:prstGeom prst="line">
          <a:avLst/>
        </a:prstGeom>
        <a:ln>
          <a:solidFill>
            <a:srgbClr val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27215</xdr:colOff>
      <xdr:row>36</xdr:row>
      <xdr:rowOff>27214</xdr:rowOff>
    </xdr:from>
    <xdr:to>
      <xdr:col>23</xdr:col>
      <xdr:colOff>993321</xdr:colOff>
      <xdr:row>38</xdr:row>
      <xdr:rowOff>0</xdr:rowOff>
    </xdr:to>
    <xdr:cxnSp macro="">
      <xdr:nvCxnSpPr>
        <xdr:cNvPr id="210" name="Straight Connector 209">
          <a:extLst>
            <a:ext uri="{FF2B5EF4-FFF2-40B4-BE49-F238E27FC236}">
              <a16:creationId xmlns:a16="http://schemas.microsoft.com/office/drawing/2014/main" id="{00000000-0008-0000-0200-0000D2000000}"/>
            </a:ext>
          </a:extLst>
        </xdr:cNvPr>
        <xdr:cNvCxnSpPr/>
      </xdr:nvCxnSpPr>
      <xdr:spPr>
        <a:xfrm flipV="1">
          <a:off x="21676179" y="8313964"/>
          <a:ext cx="1850571" cy="462643"/>
        </a:xfrm>
        <a:prstGeom prst="line">
          <a:avLst/>
        </a:prstGeom>
        <a:ln w="76200" cap="rnd">
          <a:solidFill>
            <a:srgbClr val="000000"/>
          </a:solidFill>
          <a:round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1034143</xdr:colOff>
      <xdr:row>36</xdr:row>
      <xdr:rowOff>13607</xdr:rowOff>
    </xdr:from>
    <xdr:to>
      <xdr:col>19</xdr:col>
      <xdr:colOff>489857</xdr:colOff>
      <xdr:row>38</xdr:row>
      <xdr:rowOff>27214</xdr:rowOff>
    </xdr:to>
    <xdr:cxnSp macro="">
      <xdr:nvCxnSpPr>
        <xdr:cNvPr id="212" name="Straight Connector 211">
          <a:extLst>
            <a:ext uri="{FF2B5EF4-FFF2-40B4-BE49-F238E27FC236}">
              <a16:creationId xmlns:a16="http://schemas.microsoft.com/office/drawing/2014/main" id="{00000000-0008-0000-0200-0000D4000000}"/>
            </a:ext>
          </a:extLst>
        </xdr:cNvPr>
        <xdr:cNvCxnSpPr/>
      </xdr:nvCxnSpPr>
      <xdr:spPr>
        <a:xfrm>
          <a:off x="17934214" y="8300357"/>
          <a:ext cx="1850572" cy="503464"/>
        </a:xfrm>
        <a:prstGeom prst="line">
          <a:avLst/>
        </a:prstGeom>
        <a:ln w="76200" cap="rnd">
          <a:solidFill>
            <a:srgbClr val="000000"/>
          </a:solidFill>
          <a:round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13607</xdr:colOff>
      <xdr:row>26</xdr:row>
      <xdr:rowOff>27215</xdr:rowOff>
    </xdr:from>
    <xdr:to>
      <xdr:col>22</xdr:col>
      <xdr:colOff>503464</xdr:colOff>
      <xdr:row>35</xdr:row>
      <xdr:rowOff>13607</xdr:rowOff>
    </xdr:to>
    <xdr:cxnSp macro="">
      <xdr:nvCxnSpPr>
        <xdr:cNvPr id="214" name="Straight Connector 213">
          <a:extLst>
            <a:ext uri="{FF2B5EF4-FFF2-40B4-BE49-F238E27FC236}">
              <a16:creationId xmlns:a16="http://schemas.microsoft.com/office/drawing/2014/main" id="{00000000-0008-0000-0200-0000D6000000}"/>
            </a:ext>
          </a:extLst>
        </xdr:cNvPr>
        <xdr:cNvCxnSpPr/>
      </xdr:nvCxnSpPr>
      <xdr:spPr>
        <a:xfrm flipV="1">
          <a:off x="18927536" y="5864679"/>
          <a:ext cx="3578678" cy="2190749"/>
        </a:xfrm>
        <a:prstGeom prst="line">
          <a:avLst/>
        </a:prstGeom>
        <a:ln w="76200" cap="rnd">
          <a:solidFill>
            <a:srgbClr val="000000"/>
          </a:solidFill>
          <a:round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27214</xdr:colOff>
      <xdr:row>34</xdr:row>
      <xdr:rowOff>176893</xdr:rowOff>
    </xdr:from>
    <xdr:to>
      <xdr:col>25</xdr:col>
      <xdr:colOff>587829</xdr:colOff>
      <xdr:row>34</xdr:row>
      <xdr:rowOff>179614</xdr:rowOff>
    </xdr:to>
    <xdr:cxnSp macro="">
      <xdr:nvCxnSpPr>
        <xdr:cNvPr id="216" name="Straight Connector 215">
          <a:extLst>
            <a:ext uri="{FF2B5EF4-FFF2-40B4-BE49-F238E27FC236}">
              <a16:creationId xmlns:a16="http://schemas.microsoft.com/office/drawing/2014/main" id="{00000000-0008-0000-0200-0000D8000000}"/>
            </a:ext>
          </a:extLst>
        </xdr:cNvPr>
        <xdr:cNvCxnSpPr/>
      </xdr:nvCxnSpPr>
      <xdr:spPr>
        <a:xfrm>
          <a:off x="19471821" y="6912429"/>
          <a:ext cx="1172937" cy="2721"/>
        </a:xfrm>
        <a:prstGeom prst="line">
          <a:avLst/>
        </a:prstGeom>
        <a:ln w="76200" cap="rnd">
          <a:solidFill>
            <a:srgbClr val="000000"/>
          </a:solidFill>
          <a:round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40821</xdr:colOff>
      <xdr:row>29</xdr:row>
      <xdr:rowOff>27214</xdr:rowOff>
    </xdr:from>
    <xdr:to>
      <xdr:col>29</xdr:col>
      <xdr:colOff>489857</xdr:colOff>
      <xdr:row>34</xdr:row>
      <xdr:rowOff>231321</xdr:rowOff>
    </xdr:to>
    <xdr:cxnSp macro="">
      <xdr:nvCxnSpPr>
        <xdr:cNvPr id="218" name="Straight Connector 217">
          <a:extLst>
            <a:ext uri="{FF2B5EF4-FFF2-40B4-BE49-F238E27FC236}">
              <a16:creationId xmlns:a16="http://schemas.microsoft.com/office/drawing/2014/main" id="{00000000-0008-0000-0200-0000DA000000}"/>
            </a:ext>
          </a:extLst>
        </xdr:cNvPr>
        <xdr:cNvCxnSpPr/>
      </xdr:nvCxnSpPr>
      <xdr:spPr>
        <a:xfrm flipH="1" flipV="1">
          <a:off x="26887714" y="6599464"/>
          <a:ext cx="2462893" cy="1428750"/>
        </a:xfrm>
        <a:prstGeom prst="line">
          <a:avLst/>
        </a:prstGeom>
        <a:ln w="76200" cap="rnd">
          <a:solidFill>
            <a:srgbClr val="000000"/>
          </a:solidFill>
          <a:round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29935</xdr:colOff>
      <xdr:row>26</xdr:row>
      <xdr:rowOff>16328</xdr:rowOff>
    </xdr:from>
    <xdr:to>
      <xdr:col>37</xdr:col>
      <xdr:colOff>489858</xdr:colOff>
      <xdr:row>31</xdr:row>
      <xdr:rowOff>217714</xdr:rowOff>
    </xdr:to>
    <xdr:cxnSp macro="">
      <xdr:nvCxnSpPr>
        <xdr:cNvPr id="219" name="Straight Connector 218">
          <a:extLst>
            <a:ext uri="{FF2B5EF4-FFF2-40B4-BE49-F238E27FC236}">
              <a16:creationId xmlns:a16="http://schemas.microsoft.com/office/drawing/2014/main" id="{00000000-0008-0000-0200-0000DB000000}"/>
            </a:ext>
          </a:extLst>
        </xdr:cNvPr>
        <xdr:cNvCxnSpPr/>
      </xdr:nvCxnSpPr>
      <xdr:spPr>
        <a:xfrm flipH="1" flipV="1">
          <a:off x="33408256" y="5853792"/>
          <a:ext cx="2174423" cy="1426029"/>
        </a:xfrm>
        <a:prstGeom prst="line">
          <a:avLst/>
        </a:prstGeom>
        <a:ln w="76200" cap="rnd">
          <a:solidFill>
            <a:srgbClr val="000000"/>
          </a:solidFill>
          <a:round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13607</xdr:colOff>
      <xdr:row>26</xdr:row>
      <xdr:rowOff>13607</xdr:rowOff>
    </xdr:from>
    <xdr:to>
      <xdr:col>33</xdr:col>
      <xdr:colOff>489857</xdr:colOff>
      <xdr:row>26</xdr:row>
      <xdr:rowOff>13607</xdr:rowOff>
    </xdr:to>
    <xdr:cxnSp macro="">
      <xdr:nvCxnSpPr>
        <xdr:cNvPr id="220" name="Straight Connector 219">
          <a:extLst>
            <a:ext uri="{FF2B5EF4-FFF2-40B4-BE49-F238E27FC236}">
              <a16:creationId xmlns:a16="http://schemas.microsoft.com/office/drawing/2014/main" id="{00000000-0008-0000-0200-0000DC000000}"/>
            </a:ext>
          </a:extLst>
        </xdr:cNvPr>
        <xdr:cNvCxnSpPr/>
      </xdr:nvCxnSpPr>
      <xdr:spPr>
        <a:xfrm>
          <a:off x="30888214" y="5851071"/>
          <a:ext cx="1510393" cy="0"/>
        </a:xfrm>
        <a:prstGeom prst="line">
          <a:avLst/>
        </a:prstGeom>
        <a:ln w="76200" cap="rnd">
          <a:solidFill>
            <a:srgbClr val="000000"/>
          </a:solidFill>
          <a:round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40822</xdr:colOff>
      <xdr:row>11</xdr:row>
      <xdr:rowOff>54428</xdr:rowOff>
    </xdr:from>
    <xdr:to>
      <xdr:col>37</xdr:col>
      <xdr:colOff>503465</xdr:colOff>
      <xdr:row>16</xdr:row>
      <xdr:rowOff>231321</xdr:rowOff>
    </xdr:to>
    <xdr:cxnSp macro="">
      <xdr:nvCxnSpPr>
        <xdr:cNvPr id="222" name="Straight Connector 221">
          <a:extLst>
            <a:ext uri="{FF2B5EF4-FFF2-40B4-BE49-F238E27FC236}">
              <a16:creationId xmlns:a16="http://schemas.microsoft.com/office/drawing/2014/main" id="{00000000-0008-0000-0200-0000DE000000}"/>
            </a:ext>
          </a:extLst>
        </xdr:cNvPr>
        <xdr:cNvCxnSpPr/>
      </xdr:nvCxnSpPr>
      <xdr:spPr>
        <a:xfrm flipV="1">
          <a:off x="33419143" y="2217964"/>
          <a:ext cx="2177143" cy="1401536"/>
        </a:xfrm>
        <a:prstGeom prst="line">
          <a:avLst/>
        </a:prstGeom>
        <a:ln w="76200" cap="rnd">
          <a:solidFill>
            <a:srgbClr val="000000"/>
          </a:solidFill>
          <a:round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40821</xdr:colOff>
      <xdr:row>11</xdr:row>
      <xdr:rowOff>40821</xdr:rowOff>
    </xdr:from>
    <xdr:to>
      <xdr:col>29</xdr:col>
      <xdr:colOff>503464</xdr:colOff>
      <xdr:row>14</xdr:row>
      <xdr:rowOff>0</xdr:rowOff>
    </xdr:to>
    <xdr:cxnSp macro="">
      <xdr:nvCxnSpPr>
        <xdr:cNvPr id="224" name="Straight Connector 223">
          <a:extLst>
            <a:ext uri="{FF2B5EF4-FFF2-40B4-BE49-F238E27FC236}">
              <a16:creationId xmlns:a16="http://schemas.microsoft.com/office/drawing/2014/main" id="{00000000-0008-0000-0200-0000E0000000}"/>
            </a:ext>
          </a:extLst>
        </xdr:cNvPr>
        <xdr:cNvCxnSpPr/>
      </xdr:nvCxnSpPr>
      <xdr:spPr>
        <a:xfrm>
          <a:off x="26887714" y="2204357"/>
          <a:ext cx="2476500" cy="693964"/>
        </a:xfrm>
        <a:prstGeom prst="line">
          <a:avLst/>
        </a:prstGeom>
        <a:ln w="76200" cap="rnd">
          <a:solidFill>
            <a:srgbClr val="000000"/>
          </a:solidFill>
          <a:round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27214</xdr:colOff>
      <xdr:row>8</xdr:row>
      <xdr:rowOff>13608</xdr:rowOff>
    </xdr:from>
    <xdr:to>
      <xdr:col>19</xdr:col>
      <xdr:colOff>517071</xdr:colOff>
      <xdr:row>8</xdr:row>
      <xdr:rowOff>27215</xdr:rowOff>
    </xdr:to>
    <xdr:cxnSp macro="">
      <xdr:nvCxnSpPr>
        <xdr:cNvPr id="226" name="Straight Connector 225">
          <a:extLst>
            <a:ext uri="{FF2B5EF4-FFF2-40B4-BE49-F238E27FC236}">
              <a16:creationId xmlns:a16="http://schemas.microsoft.com/office/drawing/2014/main" id="{00000000-0008-0000-0200-0000E2000000}"/>
            </a:ext>
          </a:extLst>
        </xdr:cNvPr>
        <xdr:cNvCxnSpPr/>
      </xdr:nvCxnSpPr>
      <xdr:spPr>
        <a:xfrm>
          <a:off x="18941143" y="1578429"/>
          <a:ext cx="870857" cy="13607"/>
        </a:xfrm>
        <a:prstGeom prst="line">
          <a:avLst/>
        </a:prstGeom>
        <a:ln w="76200" cap="rnd">
          <a:solidFill>
            <a:srgbClr val="000000"/>
          </a:solidFill>
          <a:round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27215</xdr:colOff>
      <xdr:row>8</xdr:row>
      <xdr:rowOff>27215</xdr:rowOff>
    </xdr:from>
    <xdr:to>
      <xdr:col>22</xdr:col>
      <xdr:colOff>517071</xdr:colOff>
      <xdr:row>8</xdr:row>
      <xdr:rowOff>27215</xdr:rowOff>
    </xdr:to>
    <xdr:cxnSp macro="">
      <xdr:nvCxnSpPr>
        <xdr:cNvPr id="227" name="Straight Connector 226">
          <a:extLst>
            <a:ext uri="{FF2B5EF4-FFF2-40B4-BE49-F238E27FC236}">
              <a16:creationId xmlns:a16="http://schemas.microsoft.com/office/drawing/2014/main" id="{00000000-0008-0000-0200-0000E3000000}"/>
            </a:ext>
          </a:extLst>
        </xdr:cNvPr>
        <xdr:cNvCxnSpPr/>
      </xdr:nvCxnSpPr>
      <xdr:spPr>
        <a:xfrm>
          <a:off x="21676179" y="1592036"/>
          <a:ext cx="843642" cy="0"/>
        </a:xfrm>
        <a:prstGeom prst="line">
          <a:avLst/>
        </a:prstGeom>
        <a:ln w="76200" cap="rnd">
          <a:solidFill>
            <a:srgbClr val="000000"/>
          </a:solidFill>
          <a:round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54429</xdr:colOff>
      <xdr:row>11</xdr:row>
      <xdr:rowOff>40821</xdr:rowOff>
    </xdr:from>
    <xdr:to>
      <xdr:col>22</xdr:col>
      <xdr:colOff>517072</xdr:colOff>
      <xdr:row>11</xdr:row>
      <xdr:rowOff>54428</xdr:rowOff>
    </xdr:to>
    <xdr:cxnSp macro="">
      <xdr:nvCxnSpPr>
        <xdr:cNvPr id="228" name="Straight Connector 227">
          <a:extLst>
            <a:ext uri="{FF2B5EF4-FFF2-40B4-BE49-F238E27FC236}">
              <a16:creationId xmlns:a16="http://schemas.microsoft.com/office/drawing/2014/main" id="{00000000-0008-0000-0200-0000E4000000}"/>
            </a:ext>
          </a:extLst>
        </xdr:cNvPr>
        <xdr:cNvCxnSpPr/>
      </xdr:nvCxnSpPr>
      <xdr:spPr>
        <a:xfrm>
          <a:off x="18968358" y="2204357"/>
          <a:ext cx="3551464" cy="13607"/>
        </a:xfrm>
        <a:prstGeom prst="line">
          <a:avLst/>
        </a:prstGeom>
        <a:ln w="76200" cap="rnd">
          <a:solidFill>
            <a:srgbClr val="000000"/>
          </a:solidFill>
          <a:round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27214</xdr:colOff>
      <xdr:row>29</xdr:row>
      <xdr:rowOff>13607</xdr:rowOff>
    </xdr:from>
    <xdr:to>
      <xdr:col>16</xdr:col>
      <xdr:colOff>522516</xdr:colOff>
      <xdr:row>29</xdr:row>
      <xdr:rowOff>13607</xdr:rowOff>
    </xdr:to>
    <xdr:cxnSp macro="">
      <xdr:nvCxnSpPr>
        <xdr:cNvPr id="230" name="Straight Connector 229">
          <a:extLst>
            <a:ext uri="{FF2B5EF4-FFF2-40B4-BE49-F238E27FC236}">
              <a16:creationId xmlns:a16="http://schemas.microsoft.com/office/drawing/2014/main" id="{00000000-0008-0000-0200-0000E6000000}"/>
            </a:ext>
          </a:extLst>
        </xdr:cNvPr>
        <xdr:cNvCxnSpPr/>
      </xdr:nvCxnSpPr>
      <xdr:spPr>
        <a:xfrm>
          <a:off x="16015607" y="6585857"/>
          <a:ext cx="876302" cy="0"/>
        </a:xfrm>
        <a:prstGeom prst="line">
          <a:avLst/>
        </a:prstGeom>
        <a:ln w="76200" cap="rnd">
          <a:solidFill>
            <a:srgbClr val="000000"/>
          </a:solidFill>
          <a:round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1020535</xdr:colOff>
      <xdr:row>12</xdr:row>
      <xdr:rowOff>13607</xdr:rowOff>
    </xdr:from>
    <xdr:to>
      <xdr:col>14</xdr:col>
      <xdr:colOff>1020535</xdr:colOff>
      <xdr:row>12</xdr:row>
      <xdr:rowOff>231322</xdr:rowOff>
    </xdr:to>
    <xdr:cxnSp macro="">
      <xdr:nvCxnSpPr>
        <xdr:cNvPr id="231" name="Straight Connector 230">
          <a:extLst>
            <a:ext uri="{FF2B5EF4-FFF2-40B4-BE49-F238E27FC236}">
              <a16:creationId xmlns:a16="http://schemas.microsoft.com/office/drawing/2014/main" id="{00000000-0008-0000-0200-0000E7000000}"/>
            </a:ext>
          </a:extLst>
        </xdr:cNvPr>
        <xdr:cNvCxnSpPr/>
      </xdr:nvCxnSpPr>
      <xdr:spPr>
        <a:xfrm>
          <a:off x="14995071" y="2422071"/>
          <a:ext cx="0" cy="217715"/>
        </a:xfrm>
        <a:prstGeom prst="line">
          <a:avLst/>
        </a:prstGeom>
        <a:ln w="76200" cap="rnd">
          <a:solidFill>
            <a:srgbClr val="000000"/>
          </a:solidFill>
          <a:round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13607</xdr:colOff>
      <xdr:row>11</xdr:row>
      <xdr:rowOff>13607</xdr:rowOff>
    </xdr:from>
    <xdr:to>
      <xdr:col>16</xdr:col>
      <xdr:colOff>522515</xdr:colOff>
      <xdr:row>11</xdr:row>
      <xdr:rowOff>13607</xdr:rowOff>
    </xdr:to>
    <xdr:cxnSp macro="">
      <xdr:nvCxnSpPr>
        <xdr:cNvPr id="232" name="Straight Connector 231">
          <a:extLst>
            <a:ext uri="{FF2B5EF4-FFF2-40B4-BE49-F238E27FC236}">
              <a16:creationId xmlns:a16="http://schemas.microsoft.com/office/drawing/2014/main" id="{00000000-0008-0000-0200-0000E8000000}"/>
            </a:ext>
          </a:extLst>
        </xdr:cNvPr>
        <xdr:cNvCxnSpPr/>
      </xdr:nvCxnSpPr>
      <xdr:spPr>
        <a:xfrm>
          <a:off x="16002000" y="2177143"/>
          <a:ext cx="889908" cy="0"/>
        </a:xfrm>
        <a:prstGeom prst="line">
          <a:avLst/>
        </a:prstGeom>
        <a:ln w="76200" cap="rnd">
          <a:solidFill>
            <a:srgbClr val="000000"/>
          </a:solidFill>
          <a:round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27214</xdr:colOff>
      <xdr:row>17</xdr:row>
      <xdr:rowOff>27214</xdr:rowOff>
    </xdr:from>
    <xdr:to>
      <xdr:col>25</xdr:col>
      <xdr:colOff>517071</xdr:colOff>
      <xdr:row>17</xdr:row>
      <xdr:rowOff>27214</xdr:rowOff>
    </xdr:to>
    <xdr:cxnSp macro="">
      <xdr:nvCxnSpPr>
        <xdr:cNvPr id="236" name="Straight Connector 235">
          <a:extLst>
            <a:ext uri="{FF2B5EF4-FFF2-40B4-BE49-F238E27FC236}">
              <a16:creationId xmlns:a16="http://schemas.microsoft.com/office/drawing/2014/main" id="{00000000-0008-0000-0200-0000EC000000}"/>
            </a:ext>
          </a:extLst>
        </xdr:cNvPr>
        <xdr:cNvCxnSpPr/>
      </xdr:nvCxnSpPr>
      <xdr:spPr>
        <a:xfrm>
          <a:off x="24574500" y="3660321"/>
          <a:ext cx="870857" cy="0"/>
        </a:xfrm>
        <a:prstGeom prst="line">
          <a:avLst/>
        </a:prstGeom>
        <a:ln w="76200" cap="rnd">
          <a:solidFill>
            <a:srgbClr val="000000"/>
          </a:solidFill>
          <a:round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10887</xdr:colOff>
      <xdr:row>17</xdr:row>
      <xdr:rowOff>10885</xdr:rowOff>
    </xdr:from>
    <xdr:to>
      <xdr:col>31</xdr:col>
      <xdr:colOff>571500</xdr:colOff>
      <xdr:row>17</xdr:row>
      <xdr:rowOff>13607</xdr:rowOff>
    </xdr:to>
    <xdr:cxnSp macro="">
      <xdr:nvCxnSpPr>
        <xdr:cNvPr id="237" name="Straight Connector 236">
          <a:extLst>
            <a:ext uri="{FF2B5EF4-FFF2-40B4-BE49-F238E27FC236}">
              <a16:creationId xmlns:a16="http://schemas.microsoft.com/office/drawing/2014/main" id="{00000000-0008-0000-0200-0000ED000000}"/>
            </a:ext>
          </a:extLst>
        </xdr:cNvPr>
        <xdr:cNvCxnSpPr/>
      </xdr:nvCxnSpPr>
      <xdr:spPr>
        <a:xfrm>
          <a:off x="30885494" y="3643992"/>
          <a:ext cx="560613" cy="2722"/>
        </a:xfrm>
        <a:prstGeom prst="line">
          <a:avLst/>
        </a:prstGeom>
        <a:ln w="76200" cap="rnd">
          <a:solidFill>
            <a:srgbClr val="000000"/>
          </a:solidFill>
          <a:round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40821</xdr:colOff>
      <xdr:row>17</xdr:row>
      <xdr:rowOff>13607</xdr:rowOff>
    </xdr:from>
    <xdr:to>
      <xdr:col>33</xdr:col>
      <xdr:colOff>503464</xdr:colOff>
      <xdr:row>17</xdr:row>
      <xdr:rowOff>13607</xdr:rowOff>
    </xdr:to>
    <xdr:cxnSp macro="">
      <xdr:nvCxnSpPr>
        <xdr:cNvPr id="238" name="Straight Connector 237">
          <a:extLst>
            <a:ext uri="{FF2B5EF4-FFF2-40B4-BE49-F238E27FC236}">
              <a16:creationId xmlns:a16="http://schemas.microsoft.com/office/drawing/2014/main" id="{00000000-0008-0000-0200-0000EE000000}"/>
            </a:ext>
          </a:extLst>
        </xdr:cNvPr>
        <xdr:cNvCxnSpPr/>
      </xdr:nvCxnSpPr>
      <xdr:spPr>
        <a:xfrm>
          <a:off x="31949571" y="3646714"/>
          <a:ext cx="462643" cy="0"/>
        </a:xfrm>
        <a:prstGeom prst="line">
          <a:avLst/>
        </a:prstGeom>
        <a:ln w="76200" cap="rnd">
          <a:solidFill>
            <a:srgbClr val="000000"/>
          </a:solidFill>
          <a:round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13607</xdr:colOff>
      <xdr:row>41</xdr:row>
      <xdr:rowOff>13607</xdr:rowOff>
    </xdr:from>
    <xdr:to>
      <xdr:col>29</xdr:col>
      <xdr:colOff>489857</xdr:colOff>
      <xdr:row>45</xdr:row>
      <xdr:rowOff>27214</xdr:rowOff>
    </xdr:to>
    <xdr:cxnSp macro="">
      <xdr:nvCxnSpPr>
        <xdr:cNvPr id="239" name="Straight Connector 238">
          <a:extLst>
            <a:ext uri="{FF2B5EF4-FFF2-40B4-BE49-F238E27FC236}">
              <a16:creationId xmlns:a16="http://schemas.microsoft.com/office/drawing/2014/main" id="{00000000-0008-0000-0200-0000EF000000}"/>
            </a:ext>
          </a:extLst>
        </xdr:cNvPr>
        <xdr:cNvCxnSpPr/>
      </xdr:nvCxnSpPr>
      <xdr:spPr>
        <a:xfrm flipH="1" flipV="1">
          <a:off x="21662571" y="9525000"/>
          <a:ext cx="7688036" cy="993321"/>
        </a:xfrm>
        <a:prstGeom prst="line">
          <a:avLst/>
        </a:prstGeom>
        <a:ln w="76200" cap="rnd">
          <a:solidFill>
            <a:srgbClr val="000000"/>
          </a:solidFill>
          <a:round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0</xdr:colOff>
      <xdr:row>41</xdr:row>
      <xdr:rowOff>0</xdr:rowOff>
    </xdr:from>
    <xdr:to>
      <xdr:col>19</xdr:col>
      <xdr:colOff>476250</xdr:colOff>
      <xdr:row>41</xdr:row>
      <xdr:rowOff>0</xdr:rowOff>
    </xdr:to>
    <xdr:cxnSp macro="">
      <xdr:nvCxnSpPr>
        <xdr:cNvPr id="241" name="Straight Connector 240">
          <a:extLst>
            <a:ext uri="{FF2B5EF4-FFF2-40B4-BE49-F238E27FC236}">
              <a16:creationId xmlns:a16="http://schemas.microsoft.com/office/drawing/2014/main" id="{00000000-0008-0000-0200-0000F1000000}"/>
            </a:ext>
          </a:extLst>
        </xdr:cNvPr>
        <xdr:cNvCxnSpPr/>
      </xdr:nvCxnSpPr>
      <xdr:spPr>
        <a:xfrm flipH="1">
          <a:off x="13443857" y="9511393"/>
          <a:ext cx="6327322" cy="0"/>
        </a:xfrm>
        <a:prstGeom prst="line">
          <a:avLst/>
        </a:prstGeom>
        <a:ln w="76200" cap="rnd">
          <a:solidFill>
            <a:srgbClr val="000000"/>
          </a:solidFill>
          <a:round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816429</xdr:colOff>
      <xdr:row>42</xdr:row>
      <xdr:rowOff>40822</xdr:rowOff>
    </xdr:from>
    <xdr:to>
      <xdr:col>29</xdr:col>
      <xdr:colOff>489857</xdr:colOff>
      <xdr:row>44</xdr:row>
      <xdr:rowOff>231321</xdr:rowOff>
    </xdr:to>
    <xdr:cxnSp macro="">
      <xdr:nvCxnSpPr>
        <xdr:cNvPr id="243" name="Straight Connector 242">
          <a:extLst>
            <a:ext uri="{FF2B5EF4-FFF2-40B4-BE49-F238E27FC236}">
              <a16:creationId xmlns:a16="http://schemas.microsoft.com/office/drawing/2014/main" id="{00000000-0008-0000-0200-0000F3000000}"/>
            </a:ext>
          </a:extLst>
        </xdr:cNvPr>
        <xdr:cNvCxnSpPr/>
      </xdr:nvCxnSpPr>
      <xdr:spPr>
        <a:xfrm flipH="1" flipV="1">
          <a:off x="28194000" y="9797143"/>
          <a:ext cx="1156607" cy="680357"/>
        </a:xfrm>
        <a:prstGeom prst="line">
          <a:avLst/>
        </a:prstGeom>
        <a:ln w="76200" cap="rnd">
          <a:solidFill>
            <a:srgbClr val="2AAC4C"/>
          </a:solidFill>
          <a:round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40821</xdr:colOff>
      <xdr:row>41</xdr:row>
      <xdr:rowOff>0</xdr:rowOff>
    </xdr:from>
    <xdr:to>
      <xdr:col>35</xdr:col>
      <xdr:colOff>517072</xdr:colOff>
      <xdr:row>41</xdr:row>
      <xdr:rowOff>27214</xdr:rowOff>
    </xdr:to>
    <xdr:cxnSp macro="">
      <xdr:nvCxnSpPr>
        <xdr:cNvPr id="245" name="Straight Connector 244">
          <a:extLst>
            <a:ext uri="{FF2B5EF4-FFF2-40B4-BE49-F238E27FC236}">
              <a16:creationId xmlns:a16="http://schemas.microsoft.com/office/drawing/2014/main" id="{00000000-0008-0000-0200-0000F5000000}"/>
            </a:ext>
          </a:extLst>
        </xdr:cNvPr>
        <xdr:cNvCxnSpPr/>
      </xdr:nvCxnSpPr>
      <xdr:spPr>
        <a:xfrm flipH="1">
          <a:off x="28901571" y="9511393"/>
          <a:ext cx="4993822" cy="27214"/>
        </a:xfrm>
        <a:prstGeom prst="line">
          <a:avLst/>
        </a:prstGeom>
        <a:ln w="76200" cap="rnd">
          <a:solidFill>
            <a:srgbClr val="2AAC4C"/>
          </a:solidFill>
          <a:round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13607</xdr:colOff>
      <xdr:row>41</xdr:row>
      <xdr:rowOff>40821</xdr:rowOff>
    </xdr:from>
    <xdr:to>
      <xdr:col>35</xdr:col>
      <xdr:colOff>517072</xdr:colOff>
      <xdr:row>45</xdr:row>
      <xdr:rowOff>27214</xdr:rowOff>
    </xdr:to>
    <xdr:cxnSp macro="">
      <xdr:nvCxnSpPr>
        <xdr:cNvPr id="247" name="Straight Connector 246">
          <a:extLst>
            <a:ext uri="{FF2B5EF4-FFF2-40B4-BE49-F238E27FC236}">
              <a16:creationId xmlns:a16="http://schemas.microsoft.com/office/drawing/2014/main" id="{00000000-0008-0000-0200-0000F7000000}"/>
            </a:ext>
          </a:extLst>
        </xdr:cNvPr>
        <xdr:cNvCxnSpPr/>
      </xdr:nvCxnSpPr>
      <xdr:spPr>
        <a:xfrm flipH="1">
          <a:off x="30888214" y="9552214"/>
          <a:ext cx="3007179" cy="966107"/>
        </a:xfrm>
        <a:prstGeom prst="line">
          <a:avLst/>
        </a:prstGeom>
        <a:ln w="76200" cap="rnd">
          <a:solidFill>
            <a:srgbClr val="2AAC4C"/>
          </a:solidFill>
          <a:round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1762125</xdr:colOff>
          <xdr:row>9</xdr:row>
          <xdr:rowOff>180975</xdr:rowOff>
        </xdr:from>
        <xdr:to>
          <xdr:col>3</xdr:col>
          <xdr:colOff>485775</xdr:colOff>
          <xdr:row>11</xdr:row>
          <xdr:rowOff>38100</xdr:rowOff>
        </xdr:to>
        <xdr:sp macro="" textlink="">
          <xdr:nvSpPr>
            <xdr:cNvPr id="1025" name="Check Box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99CC00" mc:Ignorable="a14" a14:legacySpreadsheetColorIndex="50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1762125</xdr:colOff>
          <xdr:row>10</xdr:row>
          <xdr:rowOff>180975</xdr:rowOff>
        </xdr:from>
        <xdr:to>
          <xdr:col>3</xdr:col>
          <xdr:colOff>485775</xdr:colOff>
          <xdr:row>11</xdr:row>
          <xdr:rowOff>228600</xdr:rowOff>
        </xdr:to>
        <xdr:sp macro="" textlink="">
          <xdr:nvSpPr>
            <xdr:cNvPr id="1027" name="Check Box 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1581150</xdr:colOff>
          <xdr:row>9</xdr:row>
          <xdr:rowOff>180975</xdr:rowOff>
        </xdr:from>
        <xdr:to>
          <xdr:col>7</xdr:col>
          <xdr:colOff>485775</xdr:colOff>
          <xdr:row>11</xdr:row>
          <xdr:rowOff>38100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1581150</xdr:colOff>
          <xdr:row>10</xdr:row>
          <xdr:rowOff>190500</xdr:rowOff>
        </xdr:from>
        <xdr:to>
          <xdr:col>7</xdr:col>
          <xdr:colOff>485775</xdr:colOff>
          <xdr:row>11</xdr:row>
          <xdr:rowOff>228600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2247900</xdr:colOff>
          <xdr:row>9</xdr:row>
          <xdr:rowOff>190500</xdr:rowOff>
        </xdr:from>
        <xdr:to>
          <xdr:col>11</xdr:col>
          <xdr:colOff>495300</xdr:colOff>
          <xdr:row>11</xdr:row>
          <xdr:rowOff>47625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2247900</xdr:colOff>
          <xdr:row>10</xdr:row>
          <xdr:rowOff>180975</xdr:rowOff>
        </xdr:from>
        <xdr:to>
          <xdr:col>11</xdr:col>
          <xdr:colOff>495300</xdr:colOff>
          <xdr:row>11</xdr:row>
          <xdr:rowOff>238125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2019300</xdr:colOff>
          <xdr:row>9</xdr:row>
          <xdr:rowOff>171450</xdr:rowOff>
        </xdr:from>
        <xdr:to>
          <xdr:col>16</xdr:col>
          <xdr:colOff>123825</xdr:colOff>
          <xdr:row>11</xdr:row>
          <xdr:rowOff>19050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2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1924050</xdr:colOff>
          <xdr:row>9</xdr:row>
          <xdr:rowOff>161925</xdr:rowOff>
        </xdr:from>
        <xdr:to>
          <xdr:col>25</xdr:col>
          <xdr:colOff>114300</xdr:colOff>
          <xdr:row>11</xdr:row>
          <xdr:rowOff>0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2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1914525</xdr:colOff>
          <xdr:row>11</xdr:row>
          <xdr:rowOff>19050</xdr:rowOff>
        </xdr:from>
        <xdr:to>
          <xdr:col>25</xdr:col>
          <xdr:colOff>123825</xdr:colOff>
          <xdr:row>12</xdr:row>
          <xdr:rowOff>9525</xdr:rowOff>
        </xdr:to>
        <xdr:sp macro="" textlink="">
          <xdr:nvSpPr>
            <xdr:cNvPr id="1034" name="Check Box 2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2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1447800</xdr:colOff>
          <xdr:row>9</xdr:row>
          <xdr:rowOff>161925</xdr:rowOff>
        </xdr:from>
        <xdr:to>
          <xdr:col>31</xdr:col>
          <xdr:colOff>476250</xdr:colOff>
          <xdr:row>11</xdr:row>
          <xdr:rowOff>9525</xdr:rowOff>
        </xdr:to>
        <xdr:sp macro="" textlink="">
          <xdr:nvSpPr>
            <xdr:cNvPr id="1035" name="Check Box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2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1447800</xdr:colOff>
          <xdr:row>11</xdr:row>
          <xdr:rowOff>19050</xdr:rowOff>
        </xdr:from>
        <xdr:to>
          <xdr:col>31</xdr:col>
          <xdr:colOff>476250</xdr:colOff>
          <xdr:row>12</xdr:row>
          <xdr:rowOff>9525</xdr:rowOff>
        </xdr:to>
        <xdr:sp macro="" textlink="">
          <xdr:nvSpPr>
            <xdr:cNvPr id="1036" name="Check Box 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2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2028825</xdr:colOff>
          <xdr:row>9</xdr:row>
          <xdr:rowOff>161925</xdr:rowOff>
        </xdr:from>
        <xdr:to>
          <xdr:col>19</xdr:col>
          <xdr:colOff>123825</xdr:colOff>
          <xdr:row>11</xdr:row>
          <xdr:rowOff>0</xdr:rowOff>
        </xdr:to>
        <xdr:sp macro="" textlink="">
          <xdr:nvSpPr>
            <xdr:cNvPr id="1037" name="Check Box 2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2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1743075</xdr:colOff>
          <xdr:row>6</xdr:row>
          <xdr:rowOff>171450</xdr:rowOff>
        </xdr:from>
        <xdr:to>
          <xdr:col>22</xdr:col>
          <xdr:colOff>123825</xdr:colOff>
          <xdr:row>8</xdr:row>
          <xdr:rowOff>28575</xdr:rowOff>
        </xdr:to>
        <xdr:sp macro="" textlink="">
          <xdr:nvSpPr>
            <xdr:cNvPr id="1038" name="Check Box 2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2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1924050</xdr:colOff>
          <xdr:row>6</xdr:row>
          <xdr:rowOff>161925</xdr:rowOff>
        </xdr:from>
        <xdr:to>
          <xdr:col>25</xdr:col>
          <xdr:colOff>123825</xdr:colOff>
          <xdr:row>8</xdr:row>
          <xdr:rowOff>0</xdr:rowOff>
        </xdr:to>
        <xdr:sp macro="" textlink="">
          <xdr:nvSpPr>
            <xdr:cNvPr id="1039" name="Check Box 2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2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1333500</xdr:colOff>
          <xdr:row>9</xdr:row>
          <xdr:rowOff>152400</xdr:rowOff>
        </xdr:from>
        <xdr:to>
          <xdr:col>27</xdr:col>
          <xdr:colOff>504825</xdr:colOff>
          <xdr:row>11</xdr:row>
          <xdr:rowOff>9525</xdr:rowOff>
        </xdr:to>
        <xdr:sp macro="" textlink="">
          <xdr:nvSpPr>
            <xdr:cNvPr id="1040" name="Check Box 2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2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2028825</xdr:colOff>
          <xdr:row>12</xdr:row>
          <xdr:rowOff>219075</xdr:rowOff>
        </xdr:from>
        <xdr:to>
          <xdr:col>19</xdr:col>
          <xdr:colOff>123825</xdr:colOff>
          <xdr:row>13</xdr:row>
          <xdr:rowOff>219075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2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1581150</xdr:colOff>
          <xdr:row>12</xdr:row>
          <xdr:rowOff>228600</xdr:rowOff>
        </xdr:from>
        <xdr:to>
          <xdr:col>7</xdr:col>
          <xdr:colOff>504825</xdr:colOff>
          <xdr:row>13</xdr:row>
          <xdr:rowOff>200025</xdr:rowOff>
        </xdr:to>
        <xdr:sp macro="" textlink="">
          <xdr:nvSpPr>
            <xdr:cNvPr id="1042" name="Check Box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2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1771650</xdr:colOff>
          <xdr:row>15</xdr:row>
          <xdr:rowOff>219075</xdr:rowOff>
        </xdr:from>
        <xdr:to>
          <xdr:col>3</xdr:col>
          <xdr:colOff>504825</xdr:colOff>
          <xdr:row>16</xdr:row>
          <xdr:rowOff>209550</xdr:rowOff>
        </xdr:to>
        <xdr:sp macro="" textlink="">
          <xdr:nvSpPr>
            <xdr:cNvPr id="1043" name="Check Box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2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1581150</xdr:colOff>
          <xdr:row>15</xdr:row>
          <xdr:rowOff>228600</xdr:rowOff>
        </xdr:from>
        <xdr:to>
          <xdr:col>7</xdr:col>
          <xdr:colOff>485775</xdr:colOff>
          <xdr:row>16</xdr:row>
          <xdr:rowOff>238125</xdr:rowOff>
        </xdr:to>
        <xdr:sp macro="" textlink="">
          <xdr:nvSpPr>
            <xdr:cNvPr id="1044" name="Check Box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2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2247900</xdr:colOff>
          <xdr:row>15</xdr:row>
          <xdr:rowOff>228600</xdr:rowOff>
        </xdr:from>
        <xdr:to>
          <xdr:col>11</xdr:col>
          <xdr:colOff>485775</xdr:colOff>
          <xdr:row>16</xdr:row>
          <xdr:rowOff>219075</xdr:rowOff>
        </xdr:to>
        <xdr:sp macro="" textlink="">
          <xdr:nvSpPr>
            <xdr:cNvPr id="1045" name="Check Box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2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1485900</xdr:colOff>
          <xdr:row>21</xdr:row>
          <xdr:rowOff>238125</xdr:rowOff>
        </xdr:from>
        <xdr:to>
          <xdr:col>5</xdr:col>
          <xdr:colOff>495300</xdr:colOff>
          <xdr:row>22</xdr:row>
          <xdr:rowOff>219075</xdr:rowOff>
        </xdr:to>
        <xdr:sp macro="" textlink="">
          <xdr:nvSpPr>
            <xdr:cNvPr id="1046" name="Check Box 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2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1752600</xdr:colOff>
          <xdr:row>24</xdr:row>
          <xdr:rowOff>238125</xdr:rowOff>
        </xdr:from>
        <xdr:to>
          <xdr:col>3</xdr:col>
          <xdr:colOff>476250</xdr:colOff>
          <xdr:row>25</xdr:row>
          <xdr:rowOff>238125</xdr:rowOff>
        </xdr:to>
        <xdr:sp macro="" textlink="">
          <xdr:nvSpPr>
            <xdr:cNvPr id="1047" name="Check Box 2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2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1771650</xdr:colOff>
          <xdr:row>39</xdr:row>
          <xdr:rowOff>228600</xdr:rowOff>
        </xdr:from>
        <xdr:to>
          <xdr:col>3</xdr:col>
          <xdr:colOff>504825</xdr:colOff>
          <xdr:row>40</xdr:row>
          <xdr:rowOff>209550</xdr:rowOff>
        </xdr:to>
        <xdr:sp macro="" textlink="">
          <xdr:nvSpPr>
            <xdr:cNvPr id="1048" name="Check Box 2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2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2247900</xdr:colOff>
          <xdr:row>24</xdr:row>
          <xdr:rowOff>209550</xdr:rowOff>
        </xdr:from>
        <xdr:to>
          <xdr:col>11</xdr:col>
          <xdr:colOff>495300</xdr:colOff>
          <xdr:row>25</xdr:row>
          <xdr:rowOff>209550</xdr:rowOff>
        </xdr:to>
        <xdr:sp macro="" textlink="">
          <xdr:nvSpPr>
            <xdr:cNvPr id="1049" name="Check Box 2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2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1581150</xdr:colOff>
          <xdr:row>24</xdr:row>
          <xdr:rowOff>228600</xdr:rowOff>
        </xdr:from>
        <xdr:to>
          <xdr:col>7</xdr:col>
          <xdr:colOff>476250</xdr:colOff>
          <xdr:row>25</xdr:row>
          <xdr:rowOff>238125</xdr:rowOff>
        </xdr:to>
        <xdr:sp macro="" textlink="">
          <xdr:nvSpPr>
            <xdr:cNvPr id="1050" name="Check Box 2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2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1571625</xdr:colOff>
          <xdr:row>27</xdr:row>
          <xdr:rowOff>238125</xdr:rowOff>
        </xdr:from>
        <xdr:to>
          <xdr:col>7</xdr:col>
          <xdr:colOff>514350</xdr:colOff>
          <xdr:row>28</xdr:row>
          <xdr:rowOff>238125</xdr:rowOff>
        </xdr:to>
        <xdr:sp macro="" textlink="">
          <xdr:nvSpPr>
            <xdr:cNvPr id="1051" name="Check Box 2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2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1571625</xdr:colOff>
          <xdr:row>33</xdr:row>
          <xdr:rowOff>219075</xdr:rowOff>
        </xdr:from>
        <xdr:to>
          <xdr:col>7</xdr:col>
          <xdr:colOff>514350</xdr:colOff>
          <xdr:row>34</xdr:row>
          <xdr:rowOff>219075</xdr:rowOff>
        </xdr:to>
        <xdr:sp macro="" textlink="">
          <xdr:nvSpPr>
            <xdr:cNvPr id="1052" name="Check Box 2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2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1485900</xdr:colOff>
          <xdr:row>36</xdr:row>
          <xdr:rowOff>238125</xdr:rowOff>
        </xdr:from>
        <xdr:to>
          <xdr:col>5</xdr:col>
          <xdr:colOff>495300</xdr:colOff>
          <xdr:row>37</xdr:row>
          <xdr:rowOff>219075</xdr:rowOff>
        </xdr:to>
        <xdr:sp macro="" textlink="">
          <xdr:nvSpPr>
            <xdr:cNvPr id="1053" name="Check Box 2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2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1476375</xdr:colOff>
          <xdr:row>40</xdr:row>
          <xdr:rowOff>0</xdr:rowOff>
        </xdr:from>
        <xdr:to>
          <xdr:col>5</xdr:col>
          <xdr:colOff>495300</xdr:colOff>
          <xdr:row>41</xdr:row>
          <xdr:rowOff>0</xdr:rowOff>
        </xdr:to>
        <xdr:sp macro="" textlink="">
          <xdr:nvSpPr>
            <xdr:cNvPr id="1054" name="Check Box 2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2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2247900</xdr:colOff>
          <xdr:row>33</xdr:row>
          <xdr:rowOff>209550</xdr:rowOff>
        </xdr:from>
        <xdr:to>
          <xdr:col>11</xdr:col>
          <xdr:colOff>495300</xdr:colOff>
          <xdr:row>34</xdr:row>
          <xdr:rowOff>219075</xdr:rowOff>
        </xdr:to>
        <xdr:sp macro="" textlink="">
          <xdr:nvSpPr>
            <xdr:cNvPr id="1055" name="Check Box 2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2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2019300</xdr:colOff>
          <xdr:row>12</xdr:row>
          <xdr:rowOff>200025</xdr:rowOff>
        </xdr:from>
        <xdr:to>
          <xdr:col>16</xdr:col>
          <xdr:colOff>123825</xdr:colOff>
          <xdr:row>13</xdr:row>
          <xdr:rowOff>209550</xdr:rowOff>
        </xdr:to>
        <xdr:sp macro="" textlink="">
          <xdr:nvSpPr>
            <xdr:cNvPr id="1056" name="Check Box 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2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2009775</xdr:colOff>
          <xdr:row>15</xdr:row>
          <xdr:rowOff>209550</xdr:rowOff>
        </xdr:from>
        <xdr:to>
          <xdr:col>16</xdr:col>
          <xdr:colOff>104775</xdr:colOff>
          <xdr:row>16</xdr:row>
          <xdr:rowOff>209550</xdr:rowOff>
        </xdr:to>
        <xdr:sp macro="" textlink="">
          <xdr:nvSpPr>
            <xdr:cNvPr id="1057" name="Check Box 2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2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2028825</xdr:colOff>
          <xdr:row>15</xdr:row>
          <xdr:rowOff>209550</xdr:rowOff>
        </xdr:from>
        <xdr:to>
          <xdr:col>19</xdr:col>
          <xdr:colOff>114300</xdr:colOff>
          <xdr:row>16</xdr:row>
          <xdr:rowOff>190500</xdr:rowOff>
        </xdr:to>
        <xdr:sp macro="" textlink="">
          <xdr:nvSpPr>
            <xdr:cNvPr id="1058" name="Check Box 2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2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2009775</xdr:colOff>
          <xdr:row>33</xdr:row>
          <xdr:rowOff>228600</xdr:rowOff>
        </xdr:from>
        <xdr:to>
          <xdr:col>16</xdr:col>
          <xdr:colOff>104775</xdr:colOff>
          <xdr:row>34</xdr:row>
          <xdr:rowOff>209550</xdr:rowOff>
        </xdr:to>
        <xdr:sp macro="" textlink="">
          <xdr:nvSpPr>
            <xdr:cNvPr id="1059" name="Check Box 2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2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2028825</xdr:colOff>
          <xdr:row>24</xdr:row>
          <xdr:rowOff>209550</xdr:rowOff>
        </xdr:from>
        <xdr:to>
          <xdr:col>19</xdr:col>
          <xdr:colOff>114300</xdr:colOff>
          <xdr:row>25</xdr:row>
          <xdr:rowOff>209550</xdr:rowOff>
        </xdr:to>
        <xdr:sp macro="" textlink="">
          <xdr:nvSpPr>
            <xdr:cNvPr id="1060" name="Check Box 2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2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2028825</xdr:colOff>
          <xdr:row>27</xdr:row>
          <xdr:rowOff>219075</xdr:rowOff>
        </xdr:from>
        <xdr:to>
          <xdr:col>19</xdr:col>
          <xdr:colOff>114300</xdr:colOff>
          <xdr:row>28</xdr:row>
          <xdr:rowOff>219075</xdr:rowOff>
        </xdr:to>
        <xdr:sp macro="" textlink="">
          <xdr:nvSpPr>
            <xdr:cNvPr id="1061" name="Check Box 2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2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2028825</xdr:colOff>
          <xdr:row>30</xdr:row>
          <xdr:rowOff>209550</xdr:rowOff>
        </xdr:from>
        <xdr:to>
          <xdr:col>19</xdr:col>
          <xdr:colOff>123825</xdr:colOff>
          <xdr:row>31</xdr:row>
          <xdr:rowOff>209550</xdr:rowOff>
        </xdr:to>
        <xdr:sp macro="" textlink="">
          <xdr:nvSpPr>
            <xdr:cNvPr id="1062" name="Check Box 2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2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2028825</xdr:colOff>
          <xdr:row>33</xdr:row>
          <xdr:rowOff>209550</xdr:rowOff>
        </xdr:from>
        <xdr:to>
          <xdr:col>19</xdr:col>
          <xdr:colOff>123825</xdr:colOff>
          <xdr:row>34</xdr:row>
          <xdr:rowOff>219075</xdr:rowOff>
        </xdr:to>
        <xdr:sp macro="" textlink="">
          <xdr:nvSpPr>
            <xdr:cNvPr id="1063" name="Check Box 2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2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1752600</xdr:colOff>
          <xdr:row>21</xdr:row>
          <xdr:rowOff>209550</xdr:rowOff>
        </xdr:from>
        <xdr:to>
          <xdr:col>22</xdr:col>
          <xdr:colOff>142875</xdr:colOff>
          <xdr:row>22</xdr:row>
          <xdr:rowOff>219075</xdr:rowOff>
        </xdr:to>
        <xdr:sp macro="" textlink="">
          <xdr:nvSpPr>
            <xdr:cNvPr id="1064" name="Check Box 2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2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1485900</xdr:colOff>
          <xdr:row>21</xdr:row>
          <xdr:rowOff>209550</xdr:rowOff>
        </xdr:from>
        <xdr:to>
          <xdr:col>13</xdr:col>
          <xdr:colOff>485775</xdr:colOff>
          <xdr:row>22</xdr:row>
          <xdr:rowOff>209550</xdr:rowOff>
        </xdr:to>
        <xdr:sp macro="" textlink="">
          <xdr:nvSpPr>
            <xdr:cNvPr id="1065" name="Check Box 2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2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1914525</xdr:colOff>
          <xdr:row>12</xdr:row>
          <xdr:rowOff>219075</xdr:rowOff>
        </xdr:from>
        <xdr:to>
          <xdr:col>25</xdr:col>
          <xdr:colOff>114300</xdr:colOff>
          <xdr:row>13</xdr:row>
          <xdr:rowOff>209550</xdr:rowOff>
        </xdr:to>
        <xdr:sp macro="" textlink="">
          <xdr:nvSpPr>
            <xdr:cNvPr id="1066" name="Check Box 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2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1905000</xdr:colOff>
          <xdr:row>15</xdr:row>
          <xdr:rowOff>228600</xdr:rowOff>
        </xdr:from>
        <xdr:to>
          <xdr:col>25</xdr:col>
          <xdr:colOff>95250</xdr:colOff>
          <xdr:row>16</xdr:row>
          <xdr:rowOff>180975</xdr:rowOff>
        </xdr:to>
        <xdr:sp macro="" textlink="">
          <xdr:nvSpPr>
            <xdr:cNvPr id="1067" name="Check Box 2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2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1924050</xdr:colOff>
          <xdr:row>24</xdr:row>
          <xdr:rowOff>219075</xdr:rowOff>
        </xdr:from>
        <xdr:to>
          <xdr:col>25</xdr:col>
          <xdr:colOff>123825</xdr:colOff>
          <xdr:row>25</xdr:row>
          <xdr:rowOff>219075</xdr:rowOff>
        </xdr:to>
        <xdr:sp macro="" textlink="">
          <xdr:nvSpPr>
            <xdr:cNvPr id="1068" name="Check Box 2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2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1914525</xdr:colOff>
          <xdr:row>27</xdr:row>
          <xdr:rowOff>228600</xdr:rowOff>
        </xdr:from>
        <xdr:to>
          <xdr:col>25</xdr:col>
          <xdr:colOff>104775</xdr:colOff>
          <xdr:row>28</xdr:row>
          <xdr:rowOff>219075</xdr:rowOff>
        </xdr:to>
        <xdr:sp macro="" textlink="">
          <xdr:nvSpPr>
            <xdr:cNvPr id="1069" name="Check Box 2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2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1905000</xdr:colOff>
          <xdr:row>30</xdr:row>
          <xdr:rowOff>219075</xdr:rowOff>
        </xdr:from>
        <xdr:to>
          <xdr:col>25</xdr:col>
          <xdr:colOff>95250</xdr:colOff>
          <xdr:row>31</xdr:row>
          <xdr:rowOff>209550</xdr:rowOff>
        </xdr:to>
        <xdr:sp macro="" textlink="">
          <xdr:nvSpPr>
            <xdr:cNvPr id="1070" name="Check Box 2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2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1914525</xdr:colOff>
          <xdr:row>33</xdr:row>
          <xdr:rowOff>228600</xdr:rowOff>
        </xdr:from>
        <xdr:to>
          <xdr:col>25</xdr:col>
          <xdr:colOff>104775</xdr:colOff>
          <xdr:row>34</xdr:row>
          <xdr:rowOff>219075</xdr:rowOff>
        </xdr:to>
        <xdr:sp macro="" textlink="">
          <xdr:nvSpPr>
            <xdr:cNvPr id="1071" name="Check Box 2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2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1329417</xdr:colOff>
          <xdr:row>12</xdr:row>
          <xdr:rowOff>219075</xdr:rowOff>
        </xdr:from>
        <xdr:to>
          <xdr:col>27</xdr:col>
          <xdr:colOff>491217</xdr:colOff>
          <xdr:row>13</xdr:row>
          <xdr:rowOff>190500</xdr:rowOff>
        </xdr:to>
        <xdr:sp macro="" textlink="">
          <xdr:nvSpPr>
            <xdr:cNvPr id="1072" name="Check Box 2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2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1323975</xdr:colOff>
          <xdr:row>24</xdr:row>
          <xdr:rowOff>219075</xdr:rowOff>
        </xdr:from>
        <xdr:to>
          <xdr:col>27</xdr:col>
          <xdr:colOff>504825</xdr:colOff>
          <xdr:row>25</xdr:row>
          <xdr:rowOff>190500</xdr:rowOff>
        </xdr:to>
        <xdr:sp macro="" textlink="">
          <xdr:nvSpPr>
            <xdr:cNvPr id="1073" name="Check Box 2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2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1323975</xdr:colOff>
          <xdr:row>27</xdr:row>
          <xdr:rowOff>200025</xdr:rowOff>
        </xdr:from>
        <xdr:to>
          <xdr:col>27</xdr:col>
          <xdr:colOff>504825</xdr:colOff>
          <xdr:row>28</xdr:row>
          <xdr:rowOff>190500</xdr:rowOff>
        </xdr:to>
        <xdr:sp macro="" textlink="">
          <xdr:nvSpPr>
            <xdr:cNvPr id="1074" name="Check Box 2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2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1323975</xdr:colOff>
          <xdr:row>30</xdr:row>
          <xdr:rowOff>209550</xdr:rowOff>
        </xdr:from>
        <xdr:to>
          <xdr:col>27</xdr:col>
          <xdr:colOff>504825</xdr:colOff>
          <xdr:row>31</xdr:row>
          <xdr:rowOff>209550</xdr:rowOff>
        </xdr:to>
        <xdr:sp macro="" textlink="">
          <xdr:nvSpPr>
            <xdr:cNvPr id="1075" name="Check Box 2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2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1343025</xdr:colOff>
          <xdr:row>33</xdr:row>
          <xdr:rowOff>200025</xdr:rowOff>
        </xdr:from>
        <xdr:to>
          <xdr:col>28</xdr:col>
          <xdr:colOff>0</xdr:colOff>
          <xdr:row>34</xdr:row>
          <xdr:rowOff>190500</xdr:rowOff>
        </xdr:to>
        <xdr:sp macro="" textlink="">
          <xdr:nvSpPr>
            <xdr:cNvPr id="1076" name="Check Box 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2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1352550</xdr:colOff>
          <xdr:row>21</xdr:row>
          <xdr:rowOff>190500</xdr:rowOff>
        </xdr:from>
        <xdr:to>
          <xdr:col>29</xdr:col>
          <xdr:colOff>495300</xdr:colOff>
          <xdr:row>22</xdr:row>
          <xdr:rowOff>209550</xdr:rowOff>
        </xdr:to>
        <xdr:sp macro="" textlink="">
          <xdr:nvSpPr>
            <xdr:cNvPr id="1077" name="Check Box 2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2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1457325</xdr:colOff>
          <xdr:row>12</xdr:row>
          <xdr:rowOff>219075</xdr:rowOff>
        </xdr:from>
        <xdr:to>
          <xdr:col>31</xdr:col>
          <xdr:colOff>485775</xdr:colOff>
          <xdr:row>13</xdr:row>
          <xdr:rowOff>219075</xdr:rowOff>
        </xdr:to>
        <xdr:sp macro="" textlink="">
          <xdr:nvSpPr>
            <xdr:cNvPr id="1078" name="Check Box 2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2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1447800</xdr:colOff>
          <xdr:row>15</xdr:row>
          <xdr:rowOff>228600</xdr:rowOff>
        </xdr:from>
        <xdr:to>
          <xdr:col>31</xdr:col>
          <xdr:colOff>476250</xdr:colOff>
          <xdr:row>16</xdr:row>
          <xdr:rowOff>219075</xdr:rowOff>
        </xdr:to>
        <xdr:sp macro="" textlink="">
          <xdr:nvSpPr>
            <xdr:cNvPr id="1079" name="Check Box 2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2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1457325</xdr:colOff>
          <xdr:row>24</xdr:row>
          <xdr:rowOff>219075</xdr:rowOff>
        </xdr:from>
        <xdr:to>
          <xdr:col>31</xdr:col>
          <xdr:colOff>476250</xdr:colOff>
          <xdr:row>25</xdr:row>
          <xdr:rowOff>219075</xdr:rowOff>
        </xdr:to>
        <xdr:sp macro="" textlink="">
          <xdr:nvSpPr>
            <xdr:cNvPr id="1080" name="Check Box 2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2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1457325</xdr:colOff>
          <xdr:row>30</xdr:row>
          <xdr:rowOff>219075</xdr:rowOff>
        </xdr:from>
        <xdr:to>
          <xdr:col>31</xdr:col>
          <xdr:colOff>476250</xdr:colOff>
          <xdr:row>31</xdr:row>
          <xdr:rowOff>219075</xdr:rowOff>
        </xdr:to>
        <xdr:sp macro="" textlink="">
          <xdr:nvSpPr>
            <xdr:cNvPr id="1081" name="Check Box 2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2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1447800</xdr:colOff>
          <xdr:row>33</xdr:row>
          <xdr:rowOff>219075</xdr:rowOff>
        </xdr:from>
        <xdr:to>
          <xdr:col>31</xdr:col>
          <xdr:colOff>485775</xdr:colOff>
          <xdr:row>34</xdr:row>
          <xdr:rowOff>219075</xdr:rowOff>
        </xdr:to>
        <xdr:sp macro="" textlink="">
          <xdr:nvSpPr>
            <xdr:cNvPr id="1082" name="Check Box 2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2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942975</xdr:colOff>
          <xdr:row>30</xdr:row>
          <xdr:rowOff>219075</xdr:rowOff>
        </xdr:from>
        <xdr:to>
          <xdr:col>35</xdr:col>
          <xdr:colOff>485775</xdr:colOff>
          <xdr:row>31</xdr:row>
          <xdr:rowOff>219075</xdr:rowOff>
        </xdr:to>
        <xdr:sp macro="" textlink="">
          <xdr:nvSpPr>
            <xdr:cNvPr id="1083" name="Check Box 2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2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962025</xdr:colOff>
          <xdr:row>24</xdr:row>
          <xdr:rowOff>200025</xdr:rowOff>
        </xdr:from>
        <xdr:to>
          <xdr:col>36</xdr:col>
          <xdr:colOff>0</xdr:colOff>
          <xdr:row>25</xdr:row>
          <xdr:rowOff>190500</xdr:rowOff>
        </xdr:to>
        <xdr:sp macro="" textlink="">
          <xdr:nvSpPr>
            <xdr:cNvPr id="1084" name="Check Box 2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2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942975</xdr:colOff>
          <xdr:row>9</xdr:row>
          <xdr:rowOff>161925</xdr:rowOff>
        </xdr:from>
        <xdr:to>
          <xdr:col>35</xdr:col>
          <xdr:colOff>504825</xdr:colOff>
          <xdr:row>11</xdr:row>
          <xdr:rowOff>9525</xdr:rowOff>
        </xdr:to>
        <xdr:sp macro="" textlink="">
          <xdr:nvSpPr>
            <xdr:cNvPr id="1085" name="Check Box 2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2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1181100</xdr:colOff>
          <xdr:row>21</xdr:row>
          <xdr:rowOff>219075</xdr:rowOff>
        </xdr:from>
        <xdr:to>
          <xdr:col>37</xdr:col>
          <xdr:colOff>514350</xdr:colOff>
          <xdr:row>22</xdr:row>
          <xdr:rowOff>190500</xdr:rowOff>
        </xdr:to>
        <xdr:sp macro="" textlink="">
          <xdr:nvSpPr>
            <xdr:cNvPr id="1086" name="Check Box 2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2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1009650</xdr:colOff>
          <xdr:row>9</xdr:row>
          <xdr:rowOff>161925</xdr:rowOff>
        </xdr:from>
        <xdr:to>
          <xdr:col>39</xdr:col>
          <xdr:colOff>476250</xdr:colOff>
          <xdr:row>11</xdr:row>
          <xdr:rowOff>9525</xdr:rowOff>
        </xdr:to>
        <xdr:sp macro="" textlink="">
          <xdr:nvSpPr>
            <xdr:cNvPr id="1087" name="Check Box 2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2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1009650</xdr:colOff>
          <xdr:row>24</xdr:row>
          <xdr:rowOff>209550</xdr:rowOff>
        </xdr:from>
        <xdr:to>
          <xdr:col>39</xdr:col>
          <xdr:colOff>504825</xdr:colOff>
          <xdr:row>25</xdr:row>
          <xdr:rowOff>209550</xdr:rowOff>
        </xdr:to>
        <xdr:sp macro="" textlink="">
          <xdr:nvSpPr>
            <xdr:cNvPr id="1088" name="Check Box 2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2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1019175</xdr:colOff>
          <xdr:row>27</xdr:row>
          <xdr:rowOff>200025</xdr:rowOff>
        </xdr:from>
        <xdr:to>
          <xdr:col>39</xdr:col>
          <xdr:colOff>514350</xdr:colOff>
          <xdr:row>28</xdr:row>
          <xdr:rowOff>190500</xdr:rowOff>
        </xdr:to>
        <xdr:sp macro="" textlink="">
          <xdr:nvSpPr>
            <xdr:cNvPr id="1089" name="Check Box 2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2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1181100</xdr:colOff>
          <xdr:row>36</xdr:row>
          <xdr:rowOff>209550</xdr:rowOff>
        </xdr:from>
        <xdr:to>
          <xdr:col>37</xdr:col>
          <xdr:colOff>514350</xdr:colOff>
          <xdr:row>37</xdr:row>
          <xdr:rowOff>209550</xdr:rowOff>
        </xdr:to>
        <xdr:sp macro="" textlink="">
          <xdr:nvSpPr>
            <xdr:cNvPr id="1090" name="Check Box 2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2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1762125</xdr:colOff>
          <xdr:row>36</xdr:row>
          <xdr:rowOff>209550</xdr:rowOff>
        </xdr:from>
        <xdr:to>
          <xdr:col>22</xdr:col>
          <xdr:colOff>142875</xdr:colOff>
          <xdr:row>37</xdr:row>
          <xdr:rowOff>190500</xdr:rowOff>
        </xdr:to>
        <xdr:sp macro="" textlink="">
          <xdr:nvSpPr>
            <xdr:cNvPr id="1091" name="Check Box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2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1762125</xdr:colOff>
          <xdr:row>39</xdr:row>
          <xdr:rowOff>200025</xdr:rowOff>
        </xdr:from>
        <xdr:to>
          <xdr:col>22</xdr:col>
          <xdr:colOff>142875</xdr:colOff>
          <xdr:row>40</xdr:row>
          <xdr:rowOff>190500</xdr:rowOff>
        </xdr:to>
        <xdr:sp macro="" textlink="">
          <xdr:nvSpPr>
            <xdr:cNvPr id="1092" name="Check Box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2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2028825</xdr:colOff>
          <xdr:row>13</xdr:row>
          <xdr:rowOff>228600</xdr:rowOff>
        </xdr:from>
        <xdr:to>
          <xdr:col>19</xdr:col>
          <xdr:colOff>123825</xdr:colOff>
          <xdr:row>14</xdr:row>
          <xdr:rowOff>219075</xdr:rowOff>
        </xdr:to>
        <xdr:sp macro="" textlink="">
          <xdr:nvSpPr>
            <xdr:cNvPr id="1095" name="Check Box 71" hidden="1">
              <a:extLst>
                <a:ext uri="{63B3BB69-23CF-44E3-9099-C40C66FF867C}">
                  <a14:compatExt spid="_x0000_s1095"/>
                </a:ext>
                <a:ext uri="{FF2B5EF4-FFF2-40B4-BE49-F238E27FC236}">
                  <a16:creationId xmlns:a16="http://schemas.microsoft.com/office/drawing/2014/main" id="{00000000-0008-0000-0200-00004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200025</xdr:colOff>
          <xdr:row>0</xdr:row>
          <xdr:rowOff>180975</xdr:rowOff>
        </xdr:from>
        <xdr:to>
          <xdr:col>2</xdr:col>
          <xdr:colOff>1000125</xdr:colOff>
          <xdr:row>4</xdr:row>
          <xdr:rowOff>95250</xdr:rowOff>
        </xdr:to>
        <xdr:sp macro="" textlink="">
          <xdr:nvSpPr>
            <xdr:cNvPr id="1096" name="Button 72" hidden="1">
              <a:extLst>
                <a:ext uri="{63B3BB69-23CF-44E3-9099-C40C66FF867C}">
                  <a14:compatExt spid="_x0000_s1096"/>
                </a:ext>
                <a:ext uri="{FF2B5EF4-FFF2-40B4-BE49-F238E27FC236}">
                  <a16:creationId xmlns:a16="http://schemas.microsoft.com/office/drawing/2014/main" id="{00000000-0008-0000-0200-00004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Buff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1575707</xdr:colOff>
          <xdr:row>30</xdr:row>
          <xdr:rowOff>205467</xdr:rowOff>
        </xdr:from>
        <xdr:to>
          <xdr:col>7</xdr:col>
          <xdr:colOff>532040</xdr:colOff>
          <xdr:row>31</xdr:row>
          <xdr:rowOff>214993</xdr:rowOff>
        </xdr:to>
        <xdr:sp macro="" textlink="">
          <xdr:nvSpPr>
            <xdr:cNvPr id="1098" name="Check Box 2" hidden="1">
              <a:extLst>
                <a:ext uri="{63B3BB69-23CF-44E3-9099-C40C66FF867C}">
                  <a14:compatExt spid="_x0000_s1098"/>
                </a:ext>
                <a:ext uri="{FF2B5EF4-FFF2-40B4-BE49-F238E27FC236}">
                  <a16:creationId xmlns:a16="http://schemas.microsoft.com/office/drawing/2014/main" id="{02E4A144-7489-DB92-1D60-B4228EB2A5E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1753961</xdr:colOff>
          <xdr:row>34</xdr:row>
          <xdr:rowOff>0</xdr:rowOff>
        </xdr:from>
        <xdr:to>
          <xdr:col>3</xdr:col>
          <xdr:colOff>364671</xdr:colOff>
          <xdr:row>34</xdr:row>
          <xdr:rowOff>219075</xdr:rowOff>
        </xdr:to>
        <xdr:sp macro="" textlink="">
          <xdr:nvSpPr>
            <xdr:cNvPr id="1099" name="Check Box 75" hidden="1">
              <a:extLst>
                <a:ext uri="{63B3BB69-23CF-44E3-9099-C40C66FF867C}">
                  <a14:compatExt spid="_x0000_s1099"/>
                </a:ext>
                <a:ext uri="{FF2B5EF4-FFF2-40B4-BE49-F238E27FC236}">
                  <a16:creationId xmlns:a16="http://schemas.microsoft.com/office/drawing/2014/main" id="{00000000-0008-0000-0200-00004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2242456</xdr:colOff>
          <xdr:row>43</xdr:row>
          <xdr:rowOff>227239</xdr:rowOff>
        </xdr:from>
        <xdr:to>
          <xdr:col>11</xdr:col>
          <xdr:colOff>434068</xdr:colOff>
          <xdr:row>44</xdr:row>
          <xdr:rowOff>201385</xdr:rowOff>
        </xdr:to>
        <xdr:sp macro="" textlink="">
          <xdr:nvSpPr>
            <xdr:cNvPr id="1100" name="Check Box 76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2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2264228</xdr:colOff>
          <xdr:row>27</xdr:row>
          <xdr:rowOff>214993</xdr:rowOff>
        </xdr:from>
        <xdr:to>
          <xdr:col>11</xdr:col>
          <xdr:colOff>508907</xdr:colOff>
          <xdr:row>28</xdr:row>
          <xdr:rowOff>214993</xdr:rowOff>
        </xdr:to>
        <xdr:sp macro="" textlink="">
          <xdr:nvSpPr>
            <xdr:cNvPr id="1101" name="Check Box 77" hidden="1">
              <a:extLst>
                <a:ext uri="{63B3BB69-23CF-44E3-9099-C40C66FF867C}">
                  <a14:compatExt spid="_x0000_s1101"/>
                </a:ext>
                <a:ext uri="{FF2B5EF4-FFF2-40B4-BE49-F238E27FC236}">
                  <a16:creationId xmlns:a16="http://schemas.microsoft.com/office/drawing/2014/main" id="{62627DB1-7C70-81E5-47CD-A69F08A1113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2264229</xdr:colOff>
          <xdr:row>30</xdr:row>
          <xdr:rowOff>214993</xdr:rowOff>
        </xdr:from>
        <xdr:to>
          <xdr:col>11</xdr:col>
          <xdr:colOff>508908</xdr:colOff>
          <xdr:row>31</xdr:row>
          <xdr:rowOff>214993</xdr:rowOff>
        </xdr:to>
        <xdr:sp macro="" textlink="">
          <xdr:nvSpPr>
            <xdr:cNvPr id="1102" name="Check Box 78" hidden="1">
              <a:extLst>
                <a:ext uri="{63B3BB69-23CF-44E3-9099-C40C66FF867C}">
                  <a14:compatExt spid="_x0000_s1102"/>
                </a:ext>
                <a:ext uri="{FF2B5EF4-FFF2-40B4-BE49-F238E27FC236}">
                  <a16:creationId xmlns:a16="http://schemas.microsoft.com/office/drawing/2014/main" id="{2C662DB1-475F-BCFC-7EEC-763E32FABCF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2019301</xdr:colOff>
          <xdr:row>24</xdr:row>
          <xdr:rowOff>214994</xdr:rowOff>
        </xdr:from>
        <xdr:to>
          <xdr:col>16</xdr:col>
          <xdr:colOff>127907</xdr:colOff>
          <xdr:row>25</xdr:row>
          <xdr:rowOff>214993</xdr:rowOff>
        </xdr:to>
        <xdr:sp macro="" textlink="">
          <xdr:nvSpPr>
            <xdr:cNvPr id="1103" name="Check Box 79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79F4D123-8E91-64CC-BED9-90A799C9FAF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2019301</xdr:colOff>
          <xdr:row>27</xdr:row>
          <xdr:rowOff>201386</xdr:rowOff>
        </xdr:from>
        <xdr:to>
          <xdr:col>16</xdr:col>
          <xdr:colOff>127907</xdr:colOff>
          <xdr:row>28</xdr:row>
          <xdr:rowOff>201386</xdr:rowOff>
        </xdr:to>
        <xdr:sp macro="" textlink="">
          <xdr:nvSpPr>
            <xdr:cNvPr id="1104" name="Check Box 80" hidden="1">
              <a:extLst>
                <a:ext uri="{63B3BB69-23CF-44E3-9099-C40C66FF867C}">
                  <a14:compatExt spid="_x0000_s1104"/>
                </a:ext>
                <a:ext uri="{FF2B5EF4-FFF2-40B4-BE49-F238E27FC236}">
                  <a16:creationId xmlns:a16="http://schemas.microsoft.com/office/drawing/2014/main" id="{A47FFEED-9E57-08CD-309E-16D237BFD8F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2009775</xdr:colOff>
          <xdr:row>6</xdr:row>
          <xdr:rowOff>160564</xdr:rowOff>
        </xdr:from>
        <xdr:to>
          <xdr:col>19</xdr:col>
          <xdr:colOff>104775</xdr:colOff>
          <xdr:row>8</xdr:row>
          <xdr:rowOff>10885</xdr:rowOff>
        </xdr:to>
        <xdr:sp macro="" textlink="">
          <xdr:nvSpPr>
            <xdr:cNvPr id="1105" name="Check Box 81" hidden="1">
              <a:extLst>
                <a:ext uri="{63B3BB69-23CF-44E3-9099-C40C66FF867C}">
                  <a14:compatExt spid="_x0000_s1105"/>
                </a:ext>
                <a:ext uri="{FF2B5EF4-FFF2-40B4-BE49-F238E27FC236}">
                  <a16:creationId xmlns:a16="http://schemas.microsoft.com/office/drawing/2014/main" id="{4188E0D9-D8CF-112F-7BF3-8190A3CAF6D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16</xdr:row>
          <xdr:rowOff>187778</xdr:rowOff>
        </xdr:from>
        <xdr:to>
          <xdr:col>9</xdr:col>
          <xdr:colOff>400050</xdr:colOff>
          <xdr:row>17</xdr:row>
          <xdr:rowOff>187778</xdr:rowOff>
        </xdr:to>
        <xdr:sp macro="" textlink="">
          <xdr:nvSpPr>
            <xdr:cNvPr id="1106" name="Check Box 82" hidden="1">
              <a:extLst>
                <a:ext uri="{63B3BB69-23CF-44E3-9099-C40C66FF867C}">
                  <a14:compatExt spid="_x0000_s1106"/>
                </a:ext>
                <a:ext uri="{FF2B5EF4-FFF2-40B4-BE49-F238E27FC236}">
                  <a16:creationId xmlns:a16="http://schemas.microsoft.com/office/drawing/2014/main" id="{DEE11881-9B78-1707-43C0-DCA4389C90C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100693</xdr:colOff>
          <xdr:row>22</xdr:row>
          <xdr:rowOff>174172</xdr:rowOff>
        </xdr:from>
        <xdr:to>
          <xdr:col>9</xdr:col>
          <xdr:colOff>386443</xdr:colOff>
          <xdr:row>23</xdr:row>
          <xdr:rowOff>174171</xdr:rowOff>
        </xdr:to>
        <xdr:sp macro="" textlink="">
          <xdr:nvSpPr>
            <xdr:cNvPr id="1107" name="Check Box 83" hidden="1">
              <a:extLst>
                <a:ext uri="{63B3BB69-23CF-44E3-9099-C40C66FF867C}">
                  <a14:compatExt spid="_x0000_s1107"/>
                </a:ext>
                <a:ext uri="{FF2B5EF4-FFF2-40B4-BE49-F238E27FC236}">
                  <a16:creationId xmlns:a16="http://schemas.microsoft.com/office/drawing/2014/main" id="{8E4452A0-6043-12BE-D0AA-02F172D1BE2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1333500</xdr:colOff>
          <xdr:row>15</xdr:row>
          <xdr:rowOff>201385</xdr:rowOff>
        </xdr:from>
        <xdr:to>
          <xdr:col>27</xdr:col>
          <xdr:colOff>508907</xdr:colOff>
          <xdr:row>16</xdr:row>
          <xdr:rowOff>201385</xdr:rowOff>
        </xdr:to>
        <xdr:sp macro="" textlink="">
          <xdr:nvSpPr>
            <xdr:cNvPr id="1108" name="Check Box 84" hidden="1">
              <a:extLst>
                <a:ext uri="{63B3BB69-23CF-44E3-9099-C40C66FF867C}">
                  <a14:compatExt spid="_x0000_s1108"/>
                </a:ext>
                <a:ext uri="{FF2B5EF4-FFF2-40B4-BE49-F238E27FC236}">
                  <a16:creationId xmlns:a16="http://schemas.microsoft.com/office/drawing/2014/main" id="{67ACF4B0-7BE7-392A-676B-ACB1EFDBDCB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88447</xdr:colOff>
          <xdr:row>16</xdr:row>
          <xdr:rowOff>201385</xdr:rowOff>
        </xdr:from>
        <xdr:to>
          <xdr:col>33</xdr:col>
          <xdr:colOff>371476</xdr:colOff>
          <xdr:row>17</xdr:row>
          <xdr:rowOff>191861</xdr:rowOff>
        </xdr:to>
        <xdr:sp macro="" textlink="">
          <xdr:nvSpPr>
            <xdr:cNvPr id="1109" name="Check Box 85" hidden="1">
              <a:extLst>
                <a:ext uri="{63B3BB69-23CF-44E3-9099-C40C66FF867C}">
                  <a14:compatExt spid="_x0000_s1109"/>
                </a:ext>
                <a:ext uri="{FF2B5EF4-FFF2-40B4-BE49-F238E27FC236}">
                  <a16:creationId xmlns:a16="http://schemas.microsoft.com/office/drawing/2014/main" id="{B43A20ED-CD89-B6CE-2D61-C5DD039A9EB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100693</xdr:colOff>
          <xdr:row>22</xdr:row>
          <xdr:rowOff>201386</xdr:rowOff>
        </xdr:from>
        <xdr:to>
          <xdr:col>33</xdr:col>
          <xdr:colOff>386443</xdr:colOff>
          <xdr:row>23</xdr:row>
          <xdr:rowOff>201385</xdr:rowOff>
        </xdr:to>
        <xdr:sp macro="" textlink="">
          <xdr:nvSpPr>
            <xdr:cNvPr id="1110" name="Check Box 86" hidden="1">
              <a:extLst>
                <a:ext uri="{63B3BB69-23CF-44E3-9099-C40C66FF867C}">
                  <a14:compatExt spid="_x0000_s1110"/>
                </a:ext>
                <a:ext uri="{FF2B5EF4-FFF2-40B4-BE49-F238E27FC236}">
                  <a16:creationId xmlns:a16="http://schemas.microsoft.com/office/drawing/2014/main" id="{09A8939A-4034-57D8-6831-A3B822B7D48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1488622</xdr:colOff>
          <xdr:row>36</xdr:row>
          <xdr:rowOff>214993</xdr:rowOff>
        </xdr:from>
        <xdr:to>
          <xdr:col>13</xdr:col>
          <xdr:colOff>495300</xdr:colOff>
          <xdr:row>37</xdr:row>
          <xdr:rowOff>214992</xdr:rowOff>
        </xdr:to>
        <xdr:sp macro="" textlink="">
          <xdr:nvSpPr>
            <xdr:cNvPr id="1111" name="Check Box 87" hidden="1">
              <a:extLst>
                <a:ext uri="{63B3BB69-23CF-44E3-9099-C40C66FF867C}">
                  <a14:compatExt spid="_x0000_s1111"/>
                </a:ext>
                <a:ext uri="{FF2B5EF4-FFF2-40B4-BE49-F238E27FC236}">
                  <a16:creationId xmlns:a16="http://schemas.microsoft.com/office/drawing/2014/main" id="{16928A48-BD25-FACB-98CD-2C1066B7624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1502229</xdr:colOff>
          <xdr:row>39</xdr:row>
          <xdr:rowOff>214993</xdr:rowOff>
        </xdr:from>
        <xdr:to>
          <xdr:col>13</xdr:col>
          <xdr:colOff>508907</xdr:colOff>
          <xdr:row>40</xdr:row>
          <xdr:rowOff>214993</xdr:rowOff>
        </xdr:to>
        <xdr:sp macro="" textlink="">
          <xdr:nvSpPr>
            <xdr:cNvPr id="1112" name="Check Box 88" hidden="1">
              <a:extLst>
                <a:ext uri="{63B3BB69-23CF-44E3-9099-C40C66FF867C}">
                  <a14:compatExt spid="_x0000_s1112"/>
                </a:ext>
                <a:ext uri="{FF2B5EF4-FFF2-40B4-BE49-F238E27FC236}">
                  <a16:creationId xmlns:a16="http://schemas.microsoft.com/office/drawing/2014/main" id="{BAAA9B7C-70EB-97BE-9BF7-8A940D47936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1366157</xdr:colOff>
          <xdr:row>36</xdr:row>
          <xdr:rowOff>214994</xdr:rowOff>
        </xdr:from>
        <xdr:to>
          <xdr:col>29</xdr:col>
          <xdr:colOff>495300</xdr:colOff>
          <xdr:row>37</xdr:row>
          <xdr:rowOff>214993</xdr:rowOff>
        </xdr:to>
        <xdr:sp macro="" textlink="">
          <xdr:nvSpPr>
            <xdr:cNvPr id="1113" name="Check Box 89" hidden="1">
              <a:extLst>
                <a:ext uri="{63B3BB69-23CF-44E3-9099-C40C66FF867C}">
                  <a14:compatExt spid="_x0000_s1113"/>
                </a:ext>
                <a:ext uri="{FF2B5EF4-FFF2-40B4-BE49-F238E27FC236}">
                  <a16:creationId xmlns:a16="http://schemas.microsoft.com/office/drawing/2014/main" id="{A8D201BB-3ACE-7A2A-770E-372906C6C0B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1352550</xdr:colOff>
          <xdr:row>39</xdr:row>
          <xdr:rowOff>242207</xdr:rowOff>
        </xdr:from>
        <xdr:to>
          <xdr:col>29</xdr:col>
          <xdr:colOff>481693</xdr:colOff>
          <xdr:row>40</xdr:row>
          <xdr:rowOff>242207</xdr:rowOff>
        </xdr:to>
        <xdr:sp macro="" textlink="">
          <xdr:nvSpPr>
            <xdr:cNvPr id="1114" name="Check Box 90" hidden="1">
              <a:extLst>
                <a:ext uri="{63B3BB69-23CF-44E3-9099-C40C66FF867C}">
                  <a14:compatExt spid="_x0000_s1114"/>
                </a:ext>
                <a:ext uri="{FF2B5EF4-FFF2-40B4-BE49-F238E27FC236}">
                  <a16:creationId xmlns:a16="http://schemas.microsoft.com/office/drawing/2014/main" id="{190DBD5F-61FB-4D53-9D16-816F5282904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1461408</xdr:colOff>
          <xdr:row>43</xdr:row>
          <xdr:rowOff>228601</xdr:rowOff>
        </xdr:from>
        <xdr:to>
          <xdr:col>31</xdr:col>
          <xdr:colOff>495301</xdr:colOff>
          <xdr:row>44</xdr:row>
          <xdr:rowOff>228600</xdr:rowOff>
        </xdr:to>
        <xdr:sp macro="" textlink="">
          <xdr:nvSpPr>
            <xdr:cNvPr id="1115" name="Check Box 91" hidden="1">
              <a:extLst>
                <a:ext uri="{63B3BB69-23CF-44E3-9099-C40C66FF867C}">
                  <a14:compatExt spid="_x0000_s1115"/>
                </a:ext>
                <a:ext uri="{FF2B5EF4-FFF2-40B4-BE49-F238E27FC236}">
                  <a16:creationId xmlns:a16="http://schemas.microsoft.com/office/drawing/2014/main" id="{CAB6B66D-7A7C-ABD6-C4EC-87B69F80B14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1175657</xdr:colOff>
          <xdr:row>39</xdr:row>
          <xdr:rowOff>214993</xdr:rowOff>
        </xdr:from>
        <xdr:to>
          <xdr:col>37</xdr:col>
          <xdr:colOff>495300</xdr:colOff>
          <xdr:row>40</xdr:row>
          <xdr:rowOff>214993</xdr:rowOff>
        </xdr:to>
        <xdr:sp macro="" textlink="">
          <xdr:nvSpPr>
            <xdr:cNvPr id="1116" name="Check Box 92" hidden="1">
              <a:extLst>
                <a:ext uri="{63B3BB69-23CF-44E3-9099-C40C66FF867C}">
                  <a14:compatExt spid="_x0000_s1116"/>
                </a:ext>
                <a:ext uri="{FF2B5EF4-FFF2-40B4-BE49-F238E27FC236}">
                  <a16:creationId xmlns:a16="http://schemas.microsoft.com/office/drawing/2014/main" id="{67225CD8-09A4-4687-8291-90B395020D6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1025979</xdr:colOff>
          <xdr:row>30</xdr:row>
          <xdr:rowOff>201386</xdr:rowOff>
        </xdr:from>
        <xdr:to>
          <xdr:col>39</xdr:col>
          <xdr:colOff>508907</xdr:colOff>
          <xdr:row>31</xdr:row>
          <xdr:rowOff>201386</xdr:rowOff>
        </xdr:to>
        <xdr:sp macro="" textlink="">
          <xdr:nvSpPr>
            <xdr:cNvPr id="1117" name="Check Box 93" hidden="1">
              <a:extLst>
                <a:ext uri="{63B3BB69-23CF-44E3-9099-C40C66FF867C}">
                  <a14:compatExt spid="_x0000_s1117"/>
                </a:ext>
                <a:ext uri="{FF2B5EF4-FFF2-40B4-BE49-F238E27FC236}">
                  <a16:creationId xmlns:a16="http://schemas.microsoft.com/office/drawing/2014/main" id="{3A19F3C6-ACCC-BA09-3831-9726D27A494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1012371</xdr:colOff>
          <xdr:row>33</xdr:row>
          <xdr:rowOff>201387</xdr:rowOff>
        </xdr:from>
        <xdr:to>
          <xdr:col>39</xdr:col>
          <xdr:colOff>495299</xdr:colOff>
          <xdr:row>34</xdr:row>
          <xdr:rowOff>201386</xdr:rowOff>
        </xdr:to>
        <xdr:sp macro="" textlink="">
          <xdr:nvSpPr>
            <xdr:cNvPr id="1118" name="Check Box 94" hidden="1">
              <a:extLst>
                <a:ext uri="{63B3BB69-23CF-44E3-9099-C40C66FF867C}">
                  <a14:compatExt spid="_x0000_s1118"/>
                </a:ext>
                <a:ext uri="{FF2B5EF4-FFF2-40B4-BE49-F238E27FC236}">
                  <a16:creationId xmlns:a16="http://schemas.microsoft.com/office/drawing/2014/main" id="{53EC90A0-BFF4-81D5-8DE0-29E79269B0B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944336</xdr:colOff>
          <xdr:row>33</xdr:row>
          <xdr:rowOff>214994</xdr:rowOff>
        </xdr:from>
        <xdr:to>
          <xdr:col>35</xdr:col>
          <xdr:colOff>495300</xdr:colOff>
          <xdr:row>34</xdr:row>
          <xdr:rowOff>214993</xdr:rowOff>
        </xdr:to>
        <xdr:sp macro="" textlink="">
          <xdr:nvSpPr>
            <xdr:cNvPr id="1119" name="Check Box 95" hidden="1">
              <a:extLst>
                <a:ext uri="{63B3BB69-23CF-44E3-9099-C40C66FF867C}">
                  <a14:compatExt spid="_x0000_s1119"/>
                </a:ext>
                <a:ext uri="{FF2B5EF4-FFF2-40B4-BE49-F238E27FC236}">
                  <a16:creationId xmlns:a16="http://schemas.microsoft.com/office/drawing/2014/main" id="{F310ED4A-F8AA-A8B8-0D6F-C955ECD4427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944336</xdr:colOff>
          <xdr:row>15</xdr:row>
          <xdr:rowOff>214993</xdr:rowOff>
        </xdr:from>
        <xdr:to>
          <xdr:col>35</xdr:col>
          <xdr:colOff>495300</xdr:colOff>
          <xdr:row>16</xdr:row>
          <xdr:rowOff>214992</xdr:rowOff>
        </xdr:to>
        <xdr:sp macro="" textlink="">
          <xdr:nvSpPr>
            <xdr:cNvPr id="1120" name="Check Box 96" hidden="1">
              <a:extLst>
                <a:ext uri="{63B3BB69-23CF-44E3-9099-C40C66FF867C}">
                  <a14:compatExt spid="_x0000_s1120"/>
                </a:ext>
                <a:ext uri="{FF2B5EF4-FFF2-40B4-BE49-F238E27FC236}">
                  <a16:creationId xmlns:a16="http://schemas.microsoft.com/office/drawing/2014/main" id="{F716935E-3A69-DB76-01EE-3950AAC9DD5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1025979</xdr:colOff>
          <xdr:row>12</xdr:row>
          <xdr:rowOff>214993</xdr:rowOff>
        </xdr:from>
        <xdr:to>
          <xdr:col>39</xdr:col>
          <xdr:colOff>508907</xdr:colOff>
          <xdr:row>13</xdr:row>
          <xdr:rowOff>214992</xdr:rowOff>
        </xdr:to>
        <xdr:sp macro="" textlink="">
          <xdr:nvSpPr>
            <xdr:cNvPr id="1121" name="Check Box 97" hidden="1">
              <a:extLst>
                <a:ext uri="{63B3BB69-23CF-44E3-9099-C40C66FF867C}">
                  <a14:compatExt spid="_x0000_s1121"/>
                </a:ext>
                <a:ext uri="{FF2B5EF4-FFF2-40B4-BE49-F238E27FC236}">
                  <a16:creationId xmlns:a16="http://schemas.microsoft.com/office/drawing/2014/main" id="{5A7C75DC-1A8A-8028-45D2-0927B6C6252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1025979</xdr:colOff>
          <xdr:row>15</xdr:row>
          <xdr:rowOff>201386</xdr:rowOff>
        </xdr:from>
        <xdr:to>
          <xdr:col>39</xdr:col>
          <xdr:colOff>508907</xdr:colOff>
          <xdr:row>16</xdr:row>
          <xdr:rowOff>201385</xdr:rowOff>
        </xdr:to>
        <xdr:sp macro="" textlink="">
          <xdr:nvSpPr>
            <xdr:cNvPr id="1122" name="Check Box 98" hidden="1">
              <a:extLst>
                <a:ext uri="{63B3BB69-23CF-44E3-9099-C40C66FF867C}">
                  <a14:compatExt spid="_x0000_s1122"/>
                </a:ext>
                <a:ext uri="{FF2B5EF4-FFF2-40B4-BE49-F238E27FC236}">
                  <a16:creationId xmlns:a16="http://schemas.microsoft.com/office/drawing/2014/main" id="{343D9A3F-4B5C-E270-D0E3-628119338C1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1295400</xdr:colOff>
          <xdr:row>0</xdr:row>
          <xdr:rowOff>190500</xdr:rowOff>
        </xdr:from>
        <xdr:to>
          <xdr:col>4</xdr:col>
          <xdr:colOff>476250</xdr:colOff>
          <xdr:row>4</xdr:row>
          <xdr:rowOff>123825</xdr:rowOff>
        </xdr:to>
        <xdr:sp macro="" textlink="">
          <xdr:nvSpPr>
            <xdr:cNvPr id="1123" name="Button 99" hidden="1">
              <a:extLst>
                <a:ext uri="{63B3BB69-23CF-44E3-9099-C40C66FF867C}">
                  <a14:compatExt spid="_x0000_s1123"/>
                </a:ext>
                <a:ext uri="{FF2B5EF4-FFF2-40B4-BE49-F238E27FC236}">
                  <a16:creationId xmlns:a16="http://schemas.microsoft.com/office/drawing/2014/main" id="{00000000-0008-0000-0200-00006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llie" refreshedDate="44980.540230324077" createdVersion="8" refreshedVersion="8" minRefreshableVersion="3" recordCount="89" xr:uid="{0DDF1B87-A936-4DC2-AD9B-EB5CD69C2689}">
  <cacheSource type="worksheet">
    <worksheetSource ref="A49:C138" sheet="Staff"/>
  </cacheSource>
  <cacheFields count="3">
    <cacheField name="Flag" numFmtId="0">
      <sharedItems count="3">
        <s v="Percent"/>
        <s v="Int"/>
        <s v="NA"/>
      </sharedItems>
    </cacheField>
    <cacheField name="Value" numFmtId="0">
      <sharedItems containsBlank="1" containsMixedTypes="1" containsNumber="1" minValue="0" maxValue="2"/>
    </cacheField>
    <cacheField name="Name" numFmtId="0">
      <sharedItems count="18">
        <s v="Transformative Guard"/>
        <s v=""/>
        <s v="Follow Through"/>
        <s v="Hawk Eye"/>
        <e v="#VALUE!"/>
        <s v="Critical Master"/>
        <s v="Combined Arts: Attack"/>
        <s v="Fire wilt" u="1"/>
        <s v="Resurrection Stance" u="1"/>
        <s v="Leeway" u="1"/>
        <s v="Wind Wilt" u="1"/>
        <s v="Eagle Eye" u="1"/>
        <s v="Karakuri Coordination: Remedy" u="1"/>
        <s v="Fillip" u="1"/>
        <s v="Critical Boost: Fury" u="1"/>
        <s v="Reactive Expert" u="1"/>
        <s v="Fleet Foot" u="1"/>
        <s v="Fog Fall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9">
  <r>
    <x v="0"/>
    <n v="0.16"/>
    <x v="0"/>
  </r>
  <r>
    <x v="0"/>
    <s v=""/>
    <x v="1"/>
  </r>
  <r>
    <x v="1"/>
    <n v="2"/>
    <x v="2"/>
  </r>
  <r>
    <x v="0"/>
    <n v="0.05"/>
    <x v="3"/>
  </r>
  <r>
    <x v="0"/>
    <n v="0"/>
    <x v="4"/>
  </r>
  <r>
    <x v="0"/>
    <n v="0.24"/>
    <x v="0"/>
  </r>
  <r>
    <x v="0"/>
    <n v="0.05"/>
    <x v="5"/>
  </r>
  <r>
    <x v="0"/>
    <s v=""/>
    <x v="1"/>
  </r>
  <r>
    <x v="2"/>
    <m/>
    <x v="6"/>
  </r>
  <r>
    <x v="0"/>
    <s v=""/>
    <x v="1"/>
  </r>
  <r>
    <x v="0"/>
    <s v=""/>
    <x v="1"/>
  </r>
  <r>
    <x v="0"/>
    <s v=""/>
    <x v="1"/>
  </r>
  <r>
    <x v="0"/>
    <s v=""/>
    <x v="1"/>
  </r>
  <r>
    <x v="0"/>
    <s v=""/>
    <x v="1"/>
  </r>
  <r>
    <x v="0"/>
    <s v=""/>
    <x v="1"/>
  </r>
  <r>
    <x v="0"/>
    <s v=""/>
    <x v="1"/>
  </r>
  <r>
    <x v="0"/>
    <s v=""/>
    <x v="1"/>
  </r>
  <r>
    <x v="0"/>
    <s v=""/>
    <x v="1"/>
  </r>
  <r>
    <x v="1"/>
    <s v=""/>
    <x v="1"/>
  </r>
  <r>
    <x v="0"/>
    <s v=""/>
    <x v="1"/>
  </r>
  <r>
    <x v="0"/>
    <s v=""/>
    <x v="1"/>
  </r>
  <r>
    <x v="1"/>
    <s v=""/>
    <x v="1"/>
  </r>
  <r>
    <x v="0"/>
    <s v=""/>
    <x v="1"/>
  </r>
  <r>
    <x v="0"/>
    <s v=""/>
    <x v="1"/>
  </r>
  <r>
    <x v="0"/>
    <s v=""/>
    <x v="1"/>
  </r>
  <r>
    <x v="0"/>
    <s v=""/>
    <x v="1"/>
  </r>
  <r>
    <x v="0"/>
    <s v=""/>
    <x v="1"/>
  </r>
  <r>
    <x v="0"/>
    <s v=""/>
    <x v="1"/>
  </r>
  <r>
    <x v="0"/>
    <s v=""/>
    <x v="1"/>
  </r>
  <r>
    <x v="1"/>
    <s v=""/>
    <x v="1"/>
  </r>
  <r>
    <x v="0"/>
    <s v=""/>
    <x v="1"/>
  </r>
  <r>
    <x v="0"/>
    <s v=""/>
    <x v="1"/>
  </r>
  <r>
    <x v="0"/>
    <s v=""/>
    <x v="1"/>
  </r>
  <r>
    <x v="0"/>
    <s v=""/>
    <x v="1"/>
  </r>
  <r>
    <x v="0"/>
    <s v=""/>
    <x v="1"/>
  </r>
  <r>
    <x v="0"/>
    <s v=""/>
    <x v="1"/>
  </r>
  <r>
    <x v="0"/>
    <s v=""/>
    <x v="1"/>
  </r>
  <r>
    <x v="0"/>
    <s v=""/>
    <x v="1"/>
  </r>
  <r>
    <x v="0"/>
    <s v=""/>
    <x v="1"/>
  </r>
  <r>
    <x v="0"/>
    <s v=""/>
    <x v="1"/>
  </r>
  <r>
    <x v="0"/>
    <s v=""/>
    <x v="1"/>
  </r>
  <r>
    <x v="0"/>
    <s v=""/>
    <x v="1"/>
  </r>
  <r>
    <x v="0"/>
    <s v=""/>
    <x v="1"/>
  </r>
  <r>
    <x v="1"/>
    <s v=""/>
    <x v="1"/>
  </r>
  <r>
    <x v="1"/>
    <s v=""/>
    <x v="1"/>
  </r>
  <r>
    <x v="0"/>
    <s v=""/>
    <x v="1"/>
  </r>
  <r>
    <x v="0"/>
    <s v=""/>
    <x v="1"/>
  </r>
  <r>
    <x v="0"/>
    <s v=""/>
    <x v="1"/>
  </r>
  <r>
    <x v="0"/>
    <s v=""/>
    <x v="1"/>
  </r>
  <r>
    <x v="0"/>
    <s v=""/>
    <x v="1"/>
  </r>
  <r>
    <x v="0"/>
    <s v=""/>
    <x v="1"/>
  </r>
  <r>
    <x v="2"/>
    <m/>
    <x v="1"/>
  </r>
  <r>
    <x v="1"/>
    <s v=""/>
    <x v="1"/>
  </r>
  <r>
    <x v="0"/>
    <s v=""/>
    <x v="1"/>
  </r>
  <r>
    <x v="0"/>
    <s v=""/>
    <x v="1"/>
  </r>
  <r>
    <x v="0"/>
    <s v=""/>
    <x v="1"/>
  </r>
  <r>
    <x v="0"/>
    <s v=""/>
    <x v="1"/>
  </r>
  <r>
    <x v="0"/>
    <s v=""/>
    <x v="1"/>
  </r>
  <r>
    <x v="0"/>
    <s v=""/>
    <x v="1"/>
  </r>
  <r>
    <x v="2"/>
    <m/>
    <x v="1"/>
  </r>
  <r>
    <x v="0"/>
    <s v=""/>
    <x v="1"/>
  </r>
  <r>
    <x v="0"/>
    <s v=""/>
    <x v="1"/>
  </r>
  <r>
    <x v="0"/>
    <s v=""/>
    <x v="1"/>
  </r>
  <r>
    <x v="0"/>
    <s v=""/>
    <x v="1"/>
  </r>
  <r>
    <x v="0"/>
    <m/>
    <x v="1"/>
  </r>
  <r>
    <x v="0"/>
    <m/>
    <x v="1"/>
  </r>
  <r>
    <x v="0"/>
    <s v=""/>
    <x v="1"/>
  </r>
  <r>
    <x v="0"/>
    <s v=""/>
    <x v="1"/>
  </r>
  <r>
    <x v="0"/>
    <s v=""/>
    <x v="1"/>
  </r>
  <r>
    <x v="0"/>
    <s v=""/>
    <x v="1"/>
  </r>
  <r>
    <x v="0"/>
    <s v=""/>
    <x v="1"/>
  </r>
  <r>
    <x v="0"/>
    <s v=""/>
    <x v="1"/>
  </r>
  <r>
    <x v="0"/>
    <s v=""/>
    <x v="1"/>
  </r>
  <r>
    <x v="0"/>
    <s v=""/>
    <x v="1"/>
  </r>
  <r>
    <x v="0"/>
    <s v=""/>
    <x v="1"/>
  </r>
  <r>
    <x v="0"/>
    <s v=""/>
    <x v="1"/>
  </r>
  <r>
    <x v="0"/>
    <s v=""/>
    <x v="1"/>
  </r>
  <r>
    <x v="0"/>
    <s v=""/>
    <x v="1"/>
  </r>
  <r>
    <x v="0"/>
    <s v=""/>
    <x v="1"/>
  </r>
  <r>
    <x v="0"/>
    <s v=""/>
    <x v="1"/>
  </r>
  <r>
    <x v="0"/>
    <s v=""/>
    <x v="1"/>
  </r>
  <r>
    <x v="0"/>
    <s v=""/>
    <x v="1"/>
  </r>
  <r>
    <x v="0"/>
    <s v=""/>
    <x v="1"/>
  </r>
  <r>
    <x v="0"/>
    <s v=""/>
    <x v="1"/>
  </r>
  <r>
    <x v="0"/>
    <s v=""/>
    <x v="1"/>
  </r>
  <r>
    <x v="2"/>
    <m/>
    <x v="1"/>
  </r>
  <r>
    <x v="0"/>
    <s v=""/>
    <x v="1"/>
  </r>
  <r>
    <x v="0"/>
    <s v=""/>
    <x v="1"/>
  </r>
  <r>
    <x v="0"/>
    <s v="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7111757-C06C-44B8-A052-74A147EA7FC6}" name="PivotTable10" cacheId="1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1:C11" firstHeaderRow="1" firstDataRow="1" firstDataCol="2"/>
  <pivotFields count="3">
    <pivotField axis="axisRow" outline="0" showAll="0" defaultSubtotal="0">
      <items count="3">
        <item x="1"/>
        <item x="2"/>
        <item x="0"/>
      </items>
    </pivotField>
    <pivotField dataField="1" showAll="0"/>
    <pivotField axis="axisRow" outline="0" showAll="0" defaultSubtotal="0">
      <items count="18">
        <item x="1"/>
        <item m="1" x="7"/>
        <item m="1" x="16"/>
        <item m="1" x="12"/>
        <item m="1" x="9"/>
        <item x="0"/>
        <item m="1" x="10"/>
        <item x="6"/>
        <item m="1" x="15"/>
        <item m="1" x="14"/>
        <item m="1" x="8"/>
        <item m="1" x="17"/>
        <item m="1" x="11"/>
        <item m="1" x="13"/>
        <item x="2"/>
        <item x="3"/>
        <item x="5"/>
        <item x="4"/>
      </items>
    </pivotField>
  </pivotFields>
  <rowFields count="2">
    <field x="2"/>
    <field x="0"/>
  </rowFields>
  <rowItems count="10">
    <i>
      <x/>
      <x/>
    </i>
    <i r="1">
      <x v="1"/>
    </i>
    <i r="1">
      <x v="2"/>
    </i>
    <i>
      <x v="5"/>
      <x v="2"/>
    </i>
    <i>
      <x v="7"/>
      <x v="1"/>
    </i>
    <i>
      <x v="14"/>
      <x/>
    </i>
    <i>
      <x v="15"/>
      <x v="2"/>
    </i>
    <i>
      <x v="16"/>
      <x v="2"/>
    </i>
    <i>
      <x v="17"/>
      <x v="2"/>
    </i>
    <i t="grand">
      <x/>
    </i>
  </rowItems>
  <colItems count="1">
    <i/>
  </colItems>
  <dataFields count="1">
    <dataField name="Sum of Value" fld="1" baseField="2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3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63" Type="http://schemas.openxmlformats.org/officeDocument/2006/relationships/ctrlProp" Target="../ctrlProps/ctrlProp60.xml"/><Relationship Id="rId68" Type="http://schemas.openxmlformats.org/officeDocument/2006/relationships/ctrlProp" Target="../ctrlProps/ctrlProp65.xml"/><Relationship Id="rId84" Type="http://schemas.openxmlformats.org/officeDocument/2006/relationships/ctrlProp" Target="../ctrlProps/ctrlProp81.xml"/><Relationship Id="rId89" Type="http://schemas.openxmlformats.org/officeDocument/2006/relationships/ctrlProp" Target="../ctrlProps/ctrlProp86.xml"/><Relationship Id="rId16" Type="http://schemas.openxmlformats.org/officeDocument/2006/relationships/ctrlProp" Target="../ctrlProps/ctrlProp13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59" Type="http://schemas.openxmlformats.org/officeDocument/2006/relationships/ctrlProp" Target="../ctrlProps/ctrlProp56.xml"/><Relationship Id="rId67" Type="http://schemas.openxmlformats.org/officeDocument/2006/relationships/ctrlProp" Target="../ctrlProps/ctrlProp6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62" Type="http://schemas.openxmlformats.org/officeDocument/2006/relationships/ctrlProp" Target="../ctrlProps/ctrlProp59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57" Type="http://schemas.openxmlformats.org/officeDocument/2006/relationships/ctrlProp" Target="../ctrlProps/ctrlProp5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94" Type="http://schemas.openxmlformats.org/officeDocument/2006/relationships/ctrlProp" Target="../ctrlProps/ctrlProp9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C4C7D6-929E-4F14-80E4-CFB924E90269}">
  <sheetPr codeName="Sheet4"/>
  <dimension ref="A1:C11"/>
  <sheetViews>
    <sheetView workbookViewId="0">
      <selection activeCell="A10" sqref="A10"/>
    </sheetView>
  </sheetViews>
  <sheetFormatPr defaultRowHeight="15"/>
  <cols>
    <col min="1" max="1" width="22.85546875" bestFit="1" customWidth="1"/>
    <col min="2" max="2" width="7.85546875" bestFit="1" customWidth="1"/>
    <col min="3" max="3" width="12.7109375" bestFit="1" customWidth="1"/>
    <col min="4" max="4" width="7.85546875" bestFit="1" customWidth="1"/>
    <col min="5" max="5" width="11.28515625" bestFit="1" customWidth="1"/>
  </cols>
  <sheetData>
    <row r="1" spans="1:3">
      <c r="A1" s="16" t="s">
        <v>149</v>
      </c>
      <c r="B1" s="16" t="s">
        <v>153</v>
      </c>
      <c r="C1" t="s">
        <v>151</v>
      </c>
    </row>
    <row r="2" spans="1:3">
      <c r="A2" t="s">
        <v>152</v>
      </c>
      <c r="B2" t="s">
        <v>154</v>
      </c>
      <c r="C2" s="42">
        <v>0</v>
      </c>
    </row>
    <row r="3" spans="1:3">
      <c r="B3" t="s">
        <v>156</v>
      </c>
      <c r="C3" s="42"/>
    </row>
    <row r="4" spans="1:3">
      <c r="B4" t="s">
        <v>155</v>
      </c>
      <c r="C4" s="42">
        <v>0</v>
      </c>
    </row>
    <row r="5" spans="1:3">
      <c r="A5" t="s">
        <v>3</v>
      </c>
      <c r="B5" t="s">
        <v>155</v>
      </c>
      <c r="C5" s="42">
        <v>0.4</v>
      </c>
    </row>
    <row r="6" spans="1:3">
      <c r="A6" t="s">
        <v>14</v>
      </c>
      <c r="B6" t="s">
        <v>156</v>
      </c>
      <c r="C6" s="42"/>
    </row>
    <row r="7" spans="1:3">
      <c r="A7" t="s">
        <v>158</v>
      </c>
      <c r="B7" t="s">
        <v>154</v>
      </c>
      <c r="C7" s="42">
        <v>2</v>
      </c>
    </row>
    <row r="8" spans="1:3">
      <c r="A8" t="s">
        <v>75</v>
      </c>
      <c r="B8" t="s">
        <v>155</v>
      </c>
      <c r="C8" s="42">
        <v>0.05</v>
      </c>
    </row>
    <row r="9" spans="1:3">
      <c r="A9" t="s">
        <v>6</v>
      </c>
      <c r="B9" t="s">
        <v>155</v>
      </c>
      <c r="C9" s="42">
        <v>0.05</v>
      </c>
    </row>
    <row r="10" spans="1:3">
      <c r="A10" t="s">
        <v>159</v>
      </c>
      <c r="B10" t="s">
        <v>155</v>
      </c>
      <c r="C10" s="42">
        <v>0</v>
      </c>
    </row>
    <row r="11" spans="1:3">
      <c r="A11" t="s">
        <v>150</v>
      </c>
      <c r="C11" s="42">
        <v>2.4999999999999996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5A58B6-2E4F-4314-8222-C34C02245CC9}">
  <sheetPr codeName="Sheet6"/>
  <dimension ref="A1:C7"/>
  <sheetViews>
    <sheetView workbookViewId="0">
      <selection activeCell="A27" sqref="A27"/>
    </sheetView>
  </sheetViews>
  <sheetFormatPr defaultRowHeight="15"/>
  <cols>
    <col min="1" max="1" width="29.140625" bestFit="1" customWidth="1"/>
    <col min="2" max="2" width="7.85546875" bestFit="1" customWidth="1"/>
    <col min="3" max="3" width="12.7109375" bestFit="1" customWidth="1"/>
  </cols>
  <sheetData>
    <row r="1" spans="1:3">
      <c r="A1" t="s">
        <v>149</v>
      </c>
      <c r="B1" t="s">
        <v>153</v>
      </c>
      <c r="C1" t="s">
        <v>151</v>
      </c>
    </row>
    <row r="2" spans="1:3">
      <c r="A2" t="s">
        <v>3</v>
      </c>
      <c r="B2" t="s">
        <v>155</v>
      </c>
      <c r="C2" s="13">
        <v>0.4</v>
      </c>
    </row>
    <row r="3" spans="1:3">
      <c r="A3" t="s">
        <v>14</v>
      </c>
      <c r="B3" t="s">
        <v>156</v>
      </c>
      <c r="C3" t="s">
        <v>160</v>
      </c>
    </row>
    <row r="4" spans="1:3">
      <c r="A4" t="s">
        <v>158</v>
      </c>
      <c r="B4" t="s">
        <v>154</v>
      </c>
      <c r="C4" s="24">
        <v>2</v>
      </c>
    </row>
    <row r="5" spans="1:3">
      <c r="A5" t="s">
        <v>75</v>
      </c>
      <c r="B5" t="s">
        <v>155</v>
      </c>
      <c r="C5" s="13">
        <v>0.05</v>
      </c>
    </row>
    <row r="6" spans="1:3">
      <c r="A6" t="s">
        <v>6</v>
      </c>
      <c r="B6" t="s">
        <v>155</v>
      </c>
      <c r="C6" s="13">
        <v>0.05</v>
      </c>
    </row>
    <row r="7" spans="1:3">
      <c r="A7" t="s">
        <v>159</v>
      </c>
      <c r="B7" t="s">
        <v>155</v>
      </c>
      <c r="C7" s="13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D6CCBF-227E-4D0F-B969-EE66C7A426EC}">
  <sheetPr codeName="Sheet2"/>
  <dimension ref="A1:AT146"/>
  <sheetViews>
    <sheetView tabSelected="1" zoomScale="70" zoomScaleNormal="70" workbookViewId="0">
      <selection activeCell="E53" sqref="E53"/>
    </sheetView>
  </sheetViews>
  <sheetFormatPr defaultRowHeight="18.75"/>
  <cols>
    <col min="1" max="1" width="8.85546875" bestFit="1" customWidth="1"/>
    <col min="2" max="2" width="7.85546875" style="4" bestFit="1" customWidth="1"/>
    <col min="3" max="3" width="29.85546875" customWidth="1"/>
    <col min="4" max="4" width="7.85546875" style="4" bestFit="1" customWidth="1"/>
    <col min="5" max="5" width="25.42578125" customWidth="1"/>
    <col min="6" max="6" width="7.85546875" style="4" bestFit="1" customWidth="1"/>
    <col min="7" max="7" width="27" customWidth="1"/>
    <col min="8" max="8" width="18.7109375" bestFit="1" customWidth="1"/>
    <col min="9" max="9" width="6.28515625" bestFit="1" customWidth="1"/>
    <col min="10" max="10" width="7.85546875" style="4" bestFit="1" customWidth="1"/>
    <col min="11" max="11" width="37" customWidth="1"/>
    <col min="12" max="12" width="7.85546875" style="4" bestFit="1" customWidth="1"/>
    <col min="13" max="13" width="25.42578125" customWidth="1"/>
    <col min="14" max="14" width="7.85546875" style="4" bestFit="1" customWidth="1"/>
    <col min="15" max="15" width="33.28515625" customWidth="1"/>
    <col min="16" max="16" width="5.7109375" bestFit="1" customWidth="1"/>
    <col min="17" max="17" width="7.85546875" style="4" bestFit="1" customWidth="1"/>
    <col min="18" max="18" width="33.42578125" customWidth="1"/>
    <col min="19" max="19" width="5.7109375" bestFit="1" customWidth="1"/>
    <col min="20" max="20" width="7.85546875" style="4" bestFit="1" customWidth="1"/>
    <col min="21" max="21" width="29.42578125" customWidth="1"/>
    <col min="22" max="22" width="5.28515625" bestFit="1" customWidth="1"/>
    <col min="23" max="23" width="7.85546875" style="4" bestFit="1" customWidth="1"/>
    <col min="24" max="24" width="31.85546875" customWidth="1"/>
    <col min="25" max="25" width="5.7109375" bestFit="1" customWidth="1"/>
    <col min="26" max="26" width="7.85546875" style="4" bestFit="1" customWidth="1"/>
    <col min="27" max="27" width="23" customWidth="1"/>
    <col min="28" max="28" width="7.85546875" style="4" bestFit="1" customWidth="1"/>
    <col min="29" max="29" width="23.7109375" customWidth="1"/>
    <col min="30" max="30" width="7.85546875" style="4" bestFit="1" customWidth="1"/>
    <col min="31" max="31" width="25.140625" customWidth="1"/>
    <col min="33" max="33" width="6.28515625" bestFit="1" customWidth="1"/>
    <col min="34" max="34" width="7.85546875" style="4" bestFit="1" customWidth="1"/>
    <col min="35" max="35" width="17.42578125" customWidth="1"/>
    <col min="36" max="36" width="7.85546875" style="4" bestFit="1" customWidth="1"/>
    <col min="37" max="37" width="20.7109375" customWidth="1"/>
    <col min="38" max="38" width="7.85546875" style="4" bestFit="1" customWidth="1"/>
    <col min="39" max="39" width="18.28515625" customWidth="1"/>
    <col min="41" max="41" width="40.5703125" style="27" customWidth="1"/>
    <col min="42" max="42" width="20.5703125" style="27" customWidth="1"/>
  </cols>
  <sheetData>
    <row r="1" spans="1:42" ht="15.75" thickBot="1">
      <c r="A1" s="1">
        <v>1</v>
      </c>
      <c r="B1" s="1">
        <v>2</v>
      </c>
      <c r="C1" s="1">
        <v>3</v>
      </c>
      <c r="D1" s="1">
        <v>4</v>
      </c>
      <c r="E1" s="1">
        <v>5</v>
      </c>
      <c r="F1" s="1">
        <v>6</v>
      </c>
      <c r="G1" s="1">
        <v>7</v>
      </c>
      <c r="H1" s="1">
        <v>8</v>
      </c>
      <c r="I1" s="1">
        <v>9</v>
      </c>
      <c r="J1" s="1">
        <v>10</v>
      </c>
      <c r="K1" s="1">
        <v>11</v>
      </c>
      <c r="L1" s="1">
        <v>12</v>
      </c>
      <c r="M1" s="1">
        <v>13</v>
      </c>
      <c r="N1" s="1">
        <v>14</v>
      </c>
      <c r="O1" s="1">
        <v>15</v>
      </c>
      <c r="P1" s="1">
        <v>16</v>
      </c>
      <c r="Q1" s="1">
        <v>17</v>
      </c>
      <c r="R1" s="1">
        <v>18</v>
      </c>
      <c r="S1" s="1">
        <v>19</v>
      </c>
      <c r="T1" s="1">
        <v>20</v>
      </c>
      <c r="U1" s="1">
        <v>21</v>
      </c>
      <c r="V1" s="1">
        <v>22</v>
      </c>
      <c r="W1" s="1">
        <v>23</v>
      </c>
      <c r="X1" s="1">
        <v>24</v>
      </c>
      <c r="Y1" s="1">
        <v>25</v>
      </c>
      <c r="Z1" s="1">
        <v>26</v>
      </c>
      <c r="AA1" s="1">
        <v>27</v>
      </c>
      <c r="AB1" s="1">
        <v>28</v>
      </c>
      <c r="AC1" s="1">
        <v>29</v>
      </c>
      <c r="AD1" s="1">
        <v>30</v>
      </c>
      <c r="AE1" s="1">
        <v>31</v>
      </c>
      <c r="AF1" s="1">
        <v>32</v>
      </c>
      <c r="AG1" s="1">
        <v>33</v>
      </c>
      <c r="AH1" s="1">
        <v>34</v>
      </c>
      <c r="AI1" s="1">
        <v>35</v>
      </c>
      <c r="AJ1" s="1">
        <v>36</v>
      </c>
      <c r="AK1" s="1">
        <v>37</v>
      </c>
      <c r="AL1" s="1">
        <v>38</v>
      </c>
      <c r="AM1" s="1">
        <v>39</v>
      </c>
      <c r="AN1" s="1">
        <v>40</v>
      </c>
      <c r="AO1"/>
      <c r="AP1"/>
    </row>
    <row r="2" spans="1:42" ht="15" customHeight="1">
      <c r="A2" s="1"/>
      <c r="B2" s="3"/>
      <c r="C2" s="1"/>
      <c r="D2" s="3"/>
      <c r="E2" s="1"/>
      <c r="F2" s="3"/>
      <c r="G2" s="36" t="s">
        <v>0</v>
      </c>
      <c r="H2" s="37"/>
      <c r="I2" s="37"/>
      <c r="J2" s="37"/>
      <c r="K2" s="38"/>
      <c r="L2" s="3"/>
      <c r="M2" s="1"/>
      <c r="N2" s="3"/>
      <c r="O2" s="1"/>
      <c r="P2" s="1"/>
      <c r="Q2" s="3"/>
      <c r="R2" s="36" t="s">
        <v>1</v>
      </c>
      <c r="S2" s="37"/>
      <c r="T2" s="37"/>
      <c r="U2" s="37"/>
      <c r="V2" s="37"/>
      <c r="W2" s="37"/>
      <c r="X2" s="38"/>
      <c r="Y2" s="1"/>
      <c r="Z2" s="3"/>
      <c r="AA2" s="1"/>
      <c r="AB2" s="3"/>
      <c r="AC2" s="1"/>
      <c r="AD2" s="3"/>
      <c r="AE2" s="36" t="s">
        <v>2</v>
      </c>
      <c r="AF2" s="37"/>
      <c r="AG2" s="37"/>
      <c r="AH2" s="37"/>
      <c r="AI2" s="38"/>
      <c r="AJ2" s="3"/>
      <c r="AK2" s="1"/>
      <c r="AL2" s="3"/>
      <c r="AM2" s="1"/>
      <c r="AN2" s="1"/>
      <c r="AO2" s="6" t="s">
        <v>3</v>
      </c>
      <c r="AP2" s="26">
        <v>0.4</v>
      </c>
    </row>
    <row r="3" spans="1:42" ht="15.75" customHeight="1" thickBot="1">
      <c r="A3" s="1"/>
      <c r="B3" s="3"/>
      <c r="C3" s="1"/>
      <c r="D3" s="3"/>
      <c r="E3" s="1"/>
      <c r="F3" s="3"/>
      <c r="G3" s="39"/>
      <c r="H3" s="40"/>
      <c r="I3" s="40"/>
      <c r="J3" s="40"/>
      <c r="K3" s="41"/>
      <c r="L3" s="3"/>
      <c r="M3" s="1"/>
      <c r="N3" s="3"/>
      <c r="O3" s="1"/>
      <c r="P3" s="1"/>
      <c r="Q3" s="3"/>
      <c r="R3" s="39"/>
      <c r="S3" s="40"/>
      <c r="T3" s="40"/>
      <c r="U3" s="40"/>
      <c r="V3" s="40"/>
      <c r="W3" s="40"/>
      <c r="X3" s="41"/>
      <c r="Y3" s="1"/>
      <c r="Z3" s="3"/>
      <c r="AA3" s="1"/>
      <c r="AB3" s="3"/>
      <c r="AC3" s="1"/>
      <c r="AD3" s="3"/>
      <c r="AE3" s="39"/>
      <c r="AF3" s="40"/>
      <c r="AG3" s="40"/>
      <c r="AH3" s="40"/>
      <c r="AI3" s="41"/>
      <c r="AJ3" s="3"/>
      <c r="AK3" s="1"/>
      <c r="AL3" s="3"/>
      <c r="AM3" s="1"/>
      <c r="AN3" s="1"/>
      <c r="AO3" s="6" t="s">
        <v>14</v>
      </c>
      <c r="AP3" s="6" t="s">
        <v>160</v>
      </c>
    </row>
    <row r="4" spans="1:42" ht="15">
      <c r="A4" s="1"/>
      <c r="B4" s="3"/>
      <c r="C4" s="1"/>
      <c r="D4" s="3"/>
      <c r="E4" s="1"/>
      <c r="F4" s="3"/>
      <c r="G4" s="1"/>
      <c r="H4" s="1"/>
      <c r="I4" s="1"/>
      <c r="J4" s="3"/>
      <c r="K4" s="1"/>
      <c r="L4" s="3"/>
      <c r="M4" s="1"/>
      <c r="N4" s="3"/>
      <c r="O4" s="1"/>
      <c r="P4" s="1"/>
      <c r="Q4" s="3"/>
      <c r="R4" s="1"/>
      <c r="S4" s="1"/>
      <c r="T4" s="3"/>
      <c r="U4" s="1"/>
      <c r="V4" s="1"/>
      <c r="W4" s="3"/>
      <c r="X4" s="1"/>
      <c r="Y4" s="1"/>
      <c r="Z4" s="3"/>
      <c r="AA4" s="1"/>
      <c r="AB4" s="3"/>
      <c r="AC4" s="1"/>
      <c r="AD4" s="3"/>
      <c r="AE4" s="1"/>
      <c r="AF4" s="1"/>
      <c r="AG4" s="1"/>
      <c r="AH4" s="3"/>
      <c r="AI4" s="1"/>
      <c r="AJ4" s="3"/>
      <c r="AK4" s="1"/>
      <c r="AL4" s="3"/>
      <c r="AM4" s="1"/>
      <c r="AN4" s="1"/>
      <c r="AO4" s="6" t="s">
        <v>158</v>
      </c>
      <c r="AP4" s="25">
        <v>2</v>
      </c>
    </row>
    <row r="5" spans="1:42" ht="15">
      <c r="A5" s="1"/>
      <c r="B5" s="3"/>
      <c r="C5" s="1"/>
      <c r="D5" s="3"/>
      <c r="E5" s="1"/>
      <c r="F5" s="3"/>
      <c r="G5" s="1"/>
      <c r="H5" s="1"/>
      <c r="I5" s="1"/>
      <c r="J5" s="3"/>
      <c r="K5" s="1"/>
      <c r="L5" s="5"/>
      <c r="M5" s="1"/>
      <c r="N5" s="3"/>
      <c r="O5" s="1"/>
      <c r="P5" s="1"/>
      <c r="Q5" s="3"/>
      <c r="R5" s="1"/>
      <c r="S5" s="1"/>
      <c r="T5" s="3"/>
      <c r="U5" s="1"/>
      <c r="V5" s="1"/>
      <c r="W5" s="3"/>
      <c r="X5" s="1"/>
      <c r="Y5" s="1"/>
      <c r="Z5" s="3"/>
      <c r="AA5" s="1"/>
      <c r="AB5" s="3"/>
      <c r="AC5" s="1"/>
      <c r="AD5" s="3"/>
      <c r="AE5" s="1"/>
      <c r="AF5" s="1"/>
      <c r="AG5" s="1"/>
      <c r="AH5" s="3"/>
      <c r="AI5" s="1"/>
      <c r="AJ5" s="3"/>
      <c r="AK5" s="1"/>
      <c r="AL5" s="3"/>
      <c r="AM5" s="1"/>
      <c r="AN5" s="1"/>
      <c r="AO5" s="6" t="s">
        <v>75</v>
      </c>
      <c r="AP5" s="26">
        <v>0.05</v>
      </c>
    </row>
    <row r="6" spans="1:42" ht="15">
      <c r="A6" s="1"/>
      <c r="B6" s="3"/>
      <c r="C6" s="1"/>
      <c r="D6" s="3"/>
      <c r="E6" s="1"/>
      <c r="F6" s="3"/>
      <c r="G6" s="1"/>
      <c r="H6" s="1"/>
      <c r="I6" s="1"/>
      <c r="J6" s="3"/>
      <c r="K6" s="1"/>
      <c r="L6" s="5"/>
      <c r="M6" s="1"/>
      <c r="N6" s="3"/>
      <c r="O6" s="1"/>
      <c r="P6" s="1"/>
      <c r="Q6" s="3"/>
      <c r="R6" s="1"/>
      <c r="S6" s="1"/>
      <c r="T6" s="3"/>
      <c r="U6" s="1"/>
      <c r="V6" s="1"/>
      <c r="W6" s="3"/>
      <c r="X6" s="1"/>
      <c r="Y6" s="1"/>
      <c r="Z6" s="3"/>
      <c r="AA6" s="1"/>
      <c r="AB6" s="3"/>
      <c r="AC6" s="1"/>
      <c r="AD6" s="3"/>
      <c r="AE6" s="1"/>
      <c r="AF6" s="1"/>
      <c r="AG6" s="1"/>
      <c r="AH6" s="3"/>
      <c r="AI6" s="1"/>
      <c r="AJ6" s="3"/>
      <c r="AK6" s="1"/>
      <c r="AL6" s="3"/>
      <c r="AM6" s="1"/>
      <c r="AN6" s="1"/>
      <c r="AO6" s="6" t="s">
        <v>6</v>
      </c>
      <c r="AP6" s="26">
        <v>0.05</v>
      </c>
    </row>
    <row r="7" spans="1:42" ht="15.75" thickBot="1">
      <c r="A7" s="1"/>
      <c r="B7" s="3"/>
      <c r="C7" s="1"/>
      <c r="D7" s="3"/>
      <c r="E7" s="1"/>
      <c r="F7" s="3"/>
      <c r="G7" s="1"/>
      <c r="H7" s="1"/>
      <c r="I7" s="1"/>
      <c r="J7" s="3"/>
      <c r="K7" s="1"/>
      <c r="L7" s="3"/>
      <c r="M7" s="1"/>
      <c r="N7" s="3"/>
      <c r="O7" s="1"/>
      <c r="P7" s="1"/>
      <c r="Q7" s="3"/>
      <c r="R7" s="1"/>
      <c r="S7" s="3"/>
      <c r="T7" s="3"/>
      <c r="U7" s="1"/>
      <c r="V7" s="3"/>
      <c r="W7" s="3"/>
      <c r="X7" s="1"/>
      <c r="Y7" s="1"/>
      <c r="Z7" s="3"/>
      <c r="AA7" s="1"/>
      <c r="AB7" s="3"/>
      <c r="AC7" s="1"/>
      <c r="AD7" s="3"/>
      <c r="AE7" s="1"/>
      <c r="AF7" s="1"/>
      <c r="AG7" s="1"/>
      <c r="AH7" s="3"/>
      <c r="AI7" s="1"/>
      <c r="AJ7" s="3"/>
      <c r="AK7" s="1"/>
      <c r="AL7" s="3"/>
      <c r="AM7" s="1"/>
      <c r="AN7" s="1"/>
      <c r="AO7" s="6" t="s">
        <v>159</v>
      </c>
      <c r="AP7" s="26">
        <v>0</v>
      </c>
    </row>
    <row r="8" spans="1:42" ht="15">
      <c r="A8" s="1"/>
      <c r="B8" s="3"/>
      <c r="C8" s="1"/>
      <c r="D8" s="3"/>
      <c r="E8" s="1"/>
      <c r="F8" s="3"/>
      <c r="G8" s="1"/>
      <c r="H8" s="1"/>
      <c r="I8" s="1"/>
      <c r="J8" s="3"/>
      <c r="K8" s="1"/>
      <c r="L8" s="3"/>
      <c r="M8" s="1"/>
      <c r="N8" s="3"/>
      <c r="O8" s="1"/>
      <c r="P8" s="1"/>
      <c r="Q8" s="3" t="b">
        <v>0</v>
      </c>
      <c r="R8" s="31" t="s">
        <v>15</v>
      </c>
      <c r="S8" s="15">
        <v>2</v>
      </c>
      <c r="T8" s="3" t="b">
        <v>0</v>
      </c>
      <c r="U8" s="31" t="s">
        <v>5</v>
      </c>
      <c r="V8" s="10">
        <v>0.03</v>
      </c>
      <c r="W8" s="3" t="b">
        <v>0</v>
      </c>
      <c r="X8" s="31" t="s">
        <v>129</v>
      </c>
      <c r="Y8" s="1"/>
      <c r="Z8" s="3"/>
      <c r="AA8" s="1"/>
      <c r="AB8" s="3"/>
      <c r="AC8" s="1"/>
      <c r="AD8" s="3"/>
      <c r="AE8" s="1"/>
      <c r="AF8" s="1"/>
      <c r="AG8" s="1"/>
      <c r="AH8" s="3"/>
      <c r="AI8" s="1"/>
      <c r="AJ8" s="3"/>
      <c r="AK8" s="1"/>
      <c r="AL8" s="3"/>
      <c r="AM8" s="1"/>
      <c r="AN8" s="1"/>
      <c r="AO8" s="6"/>
      <c r="AP8" s="6"/>
    </row>
    <row r="9" spans="1:42" ht="15.75" thickBot="1">
      <c r="A9" s="1"/>
      <c r="B9" s="3"/>
      <c r="C9" s="1"/>
      <c r="D9" s="3"/>
      <c r="E9" s="1"/>
      <c r="F9" s="3"/>
      <c r="G9" s="1"/>
      <c r="H9" s="1"/>
      <c r="I9" s="1"/>
      <c r="J9" s="3"/>
      <c r="K9" s="1"/>
      <c r="L9" s="3"/>
      <c r="M9" s="1"/>
      <c r="N9" s="3"/>
      <c r="O9" s="1"/>
      <c r="P9" s="1"/>
      <c r="Q9" s="3"/>
      <c r="R9" s="30"/>
      <c r="S9" s="2"/>
      <c r="T9" s="3"/>
      <c r="U9" s="30"/>
      <c r="V9" s="10"/>
      <c r="W9" s="3"/>
      <c r="X9" s="30"/>
      <c r="Y9" s="3"/>
      <c r="Z9" s="3"/>
      <c r="AA9" s="1"/>
      <c r="AB9" s="3"/>
      <c r="AC9" s="1"/>
      <c r="AD9" s="3"/>
      <c r="AE9" s="1"/>
      <c r="AF9" s="1"/>
      <c r="AG9" s="1"/>
      <c r="AH9" s="3"/>
      <c r="AI9" s="1"/>
      <c r="AJ9" s="3"/>
      <c r="AK9" s="1"/>
      <c r="AL9" s="3"/>
      <c r="AM9" s="1"/>
      <c r="AN9" s="1"/>
      <c r="AO9"/>
      <c r="AP9"/>
    </row>
    <row r="10" spans="1:42" ht="15.75" thickBot="1">
      <c r="A10" s="1"/>
      <c r="B10" s="3"/>
      <c r="C10" s="1"/>
      <c r="D10" s="3"/>
      <c r="E10" s="1"/>
      <c r="F10" s="3"/>
      <c r="G10" s="1"/>
      <c r="H10" s="1"/>
      <c r="I10" s="3"/>
      <c r="J10" s="3"/>
      <c r="K10" s="1"/>
      <c r="L10" s="3"/>
      <c r="M10" s="1"/>
      <c r="N10" s="3"/>
      <c r="O10" s="1"/>
      <c r="P10" s="8"/>
      <c r="Q10" s="3"/>
      <c r="R10" s="1"/>
      <c r="S10" s="1"/>
      <c r="T10" s="3"/>
      <c r="U10" s="1"/>
      <c r="V10" s="8"/>
      <c r="W10" s="3"/>
      <c r="X10" s="1"/>
      <c r="Y10" s="8"/>
      <c r="Z10" s="3"/>
      <c r="AA10" s="1"/>
      <c r="AB10" s="3"/>
      <c r="AC10" s="3"/>
      <c r="AD10" s="3"/>
      <c r="AE10" s="1"/>
      <c r="AF10" s="1"/>
      <c r="AG10" s="1"/>
      <c r="AH10" s="3"/>
      <c r="AI10" s="1"/>
      <c r="AJ10" s="3"/>
      <c r="AK10" s="1"/>
      <c r="AL10" s="3"/>
      <c r="AM10" s="1"/>
      <c r="AN10" s="1"/>
      <c r="AO10"/>
      <c r="AP10"/>
    </row>
    <row r="11" spans="1:42" ht="15">
      <c r="A11" s="8">
        <v>0.16</v>
      </c>
      <c r="B11" s="3" t="b">
        <v>0</v>
      </c>
      <c r="C11" s="29" t="s">
        <v>102</v>
      </c>
      <c r="D11" s="5"/>
      <c r="E11" s="8">
        <v>0.5</v>
      </c>
      <c r="F11" s="3" t="b">
        <v>0</v>
      </c>
      <c r="G11" s="31" t="s">
        <v>114</v>
      </c>
      <c r="H11" s="2"/>
      <c r="I11" s="8">
        <v>0.05</v>
      </c>
      <c r="J11" s="3" t="b">
        <v>0</v>
      </c>
      <c r="K11" s="31" t="s">
        <v>115</v>
      </c>
      <c r="L11" s="5"/>
      <c r="M11" s="3">
        <v>1</v>
      </c>
      <c r="N11" s="3" t="b">
        <v>0</v>
      </c>
      <c r="O11" s="31" t="s">
        <v>4</v>
      </c>
      <c r="P11" s="10">
        <v>0.04</v>
      </c>
      <c r="Q11" s="3" t="b">
        <v>0</v>
      </c>
      <c r="R11" s="31" t="s">
        <v>121</v>
      </c>
      <c r="S11" s="2"/>
      <c r="T11" s="3"/>
      <c r="U11" s="1"/>
      <c r="V11" s="8">
        <v>0.03</v>
      </c>
      <c r="W11" s="3" t="b">
        <v>0</v>
      </c>
      <c r="X11" s="31" t="s">
        <v>129</v>
      </c>
      <c r="Y11" s="11">
        <v>0.17</v>
      </c>
      <c r="Z11" s="3" t="b">
        <v>0</v>
      </c>
      <c r="AA11" s="31" t="s">
        <v>135</v>
      </c>
      <c r="AB11" s="5"/>
      <c r="AC11" s="8">
        <v>0.13</v>
      </c>
      <c r="AD11" s="3" t="b">
        <v>0</v>
      </c>
      <c r="AE11" s="31" t="s">
        <v>142</v>
      </c>
      <c r="AF11" s="1"/>
      <c r="AG11" s="8">
        <v>0.05</v>
      </c>
      <c r="AH11" s="3" t="b">
        <v>0</v>
      </c>
      <c r="AI11" s="31" t="s">
        <v>147</v>
      </c>
      <c r="AJ11" s="3"/>
      <c r="AK11" s="8">
        <v>0.06</v>
      </c>
      <c r="AL11" s="3" t="b">
        <v>0</v>
      </c>
      <c r="AM11" s="31" t="s">
        <v>145</v>
      </c>
      <c r="AN11" s="1"/>
      <c r="AO11"/>
      <c r="AP11"/>
    </row>
    <row r="12" spans="1:42" ht="19.5" thickBot="1">
      <c r="A12" s="8">
        <v>0.08</v>
      </c>
      <c r="B12" s="3" t="b">
        <v>0</v>
      </c>
      <c r="C12" s="30" t="s">
        <v>103</v>
      </c>
      <c r="D12" s="5"/>
      <c r="E12" s="8">
        <v>0.4</v>
      </c>
      <c r="F12" s="3" t="b">
        <v>0</v>
      </c>
      <c r="G12" s="30" t="s">
        <v>113</v>
      </c>
      <c r="H12" s="2"/>
      <c r="I12" s="14">
        <v>2</v>
      </c>
      <c r="J12" s="3" t="b">
        <v>0</v>
      </c>
      <c r="K12" s="30" t="s">
        <v>8</v>
      </c>
      <c r="L12" s="5"/>
      <c r="M12" s="3"/>
      <c r="N12" s="3"/>
      <c r="O12" s="30"/>
      <c r="P12" s="10"/>
      <c r="Q12" s="3"/>
      <c r="R12" s="30"/>
      <c r="S12" s="2"/>
      <c r="T12" s="3"/>
      <c r="U12" s="1"/>
      <c r="V12" s="8">
        <v>0.08</v>
      </c>
      <c r="W12" s="3" t="b">
        <v>0</v>
      </c>
      <c r="X12" s="30" t="s">
        <v>130</v>
      </c>
      <c r="Y12" s="11"/>
      <c r="Z12" s="3"/>
      <c r="AA12" s="30"/>
      <c r="AB12" s="5"/>
      <c r="AC12" s="8">
        <v>0.1</v>
      </c>
      <c r="AD12" s="3" t="b">
        <v>0</v>
      </c>
      <c r="AE12" s="30" t="s">
        <v>141</v>
      </c>
      <c r="AF12" s="1"/>
      <c r="AG12" s="1"/>
      <c r="AH12" s="3"/>
      <c r="AI12" s="30"/>
      <c r="AJ12" s="3"/>
      <c r="AK12" s="3"/>
      <c r="AL12" s="3"/>
      <c r="AM12" s="30"/>
      <c r="AN12" s="1"/>
    </row>
    <row r="13" spans="1:42" ht="19.5" thickBot="1">
      <c r="A13" s="8"/>
      <c r="B13" s="3"/>
      <c r="C13" s="1"/>
      <c r="D13" s="3"/>
      <c r="E13" s="8"/>
      <c r="F13" s="3"/>
      <c r="G13" s="1"/>
      <c r="H13" s="1"/>
      <c r="I13" s="8"/>
      <c r="J13" s="3"/>
      <c r="K13" s="1"/>
      <c r="L13" s="3"/>
      <c r="M13" s="3"/>
      <c r="N13" s="3"/>
      <c r="O13" s="1"/>
      <c r="P13" s="8"/>
      <c r="Q13" s="3"/>
      <c r="R13" s="1"/>
      <c r="S13" s="1"/>
      <c r="T13" s="3"/>
      <c r="U13" s="1"/>
      <c r="V13" s="8"/>
      <c r="W13" s="3"/>
      <c r="X13" s="1"/>
      <c r="Y13" s="8"/>
      <c r="Z13" s="3"/>
      <c r="AA13" s="1"/>
      <c r="AB13" s="3"/>
      <c r="AC13" s="8"/>
      <c r="AD13" s="3"/>
      <c r="AE13" s="1"/>
      <c r="AF13" s="1"/>
      <c r="AG13" s="1"/>
      <c r="AH13" s="3"/>
      <c r="AI13" s="1"/>
      <c r="AJ13" s="3"/>
      <c r="AK13" s="1"/>
      <c r="AL13" s="3"/>
      <c r="AM13" s="1"/>
      <c r="AN13" s="1"/>
    </row>
    <row r="14" spans="1:42">
      <c r="A14" s="8"/>
      <c r="B14" s="3"/>
      <c r="C14" s="1"/>
      <c r="D14" s="3"/>
      <c r="E14" s="8">
        <v>1.2999999999999999E-2</v>
      </c>
      <c r="F14" s="3" t="b">
        <v>0</v>
      </c>
      <c r="G14" s="31" t="s">
        <v>112</v>
      </c>
      <c r="H14" s="2"/>
      <c r="I14" s="8"/>
      <c r="J14" s="3"/>
      <c r="K14" s="1"/>
      <c r="L14" s="3"/>
      <c r="M14" s="8">
        <v>0.04</v>
      </c>
      <c r="N14" s="3" t="b">
        <v>0</v>
      </c>
      <c r="O14" s="31" t="s">
        <v>120</v>
      </c>
      <c r="P14" s="10">
        <v>0.5</v>
      </c>
      <c r="Q14" s="3" t="b">
        <v>0</v>
      </c>
      <c r="R14" s="31" t="s">
        <v>122</v>
      </c>
      <c r="S14" s="2"/>
      <c r="T14" s="3"/>
      <c r="U14" s="1"/>
      <c r="V14" s="8">
        <v>0.05</v>
      </c>
      <c r="W14" s="3" t="b">
        <v>0</v>
      </c>
      <c r="X14" s="31" t="s">
        <v>131</v>
      </c>
      <c r="Y14" s="11">
        <v>0.05</v>
      </c>
      <c r="Z14" s="3" t="b">
        <v>0</v>
      </c>
      <c r="AA14" s="31" t="s">
        <v>136</v>
      </c>
      <c r="AB14" s="5"/>
      <c r="AC14" s="8">
        <v>0.25</v>
      </c>
      <c r="AD14" s="3" t="b">
        <v>0</v>
      </c>
      <c r="AE14" s="31" t="s">
        <v>140</v>
      </c>
      <c r="AF14" s="1"/>
      <c r="AG14" s="1"/>
      <c r="AH14" s="3"/>
      <c r="AI14" s="1"/>
      <c r="AJ14" s="3"/>
      <c r="AK14" s="1"/>
      <c r="AL14" s="3" t="b">
        <v>1</v>
      </c>
      <c r="AM14" s="34" t="s">
        <v>7</v>
      </c>
      <c r="AN14" s="1"/>
    </row>
    <row r="15" spans="1:42" ht="19.5" thickBot="1">
      <c r="A15" s="8"/>
      <c r="B15" s="3"/>
      <c r="C15" s="1"/>
      <c r="D15" s="3"/>
      <c r="E15" s="8"/>
      <c r="F15" s="3"/>
      <c r="G15" s="30"/>
      <c r="H15" s="2"/>
      <c r="I15" s="8"/>
      <c r="J15" s="3"/>
      <c r="K15" s="1"/>
      <c r="L15" s="3"/>
      <c r="M15" s="3"/>
      <c r="N15" s="3"/>
      <c r="O15" s="30"/>
      <c r="P15" s="10">
        <v>0.04</v>
      </c>
      <c r="Q15" s="3" t="b">
        <v>0</v>
      </c>
      <c r="R15" s="30" t="s">
        <v>120</v>
      </c>
      <c r="S15" s="2"/>
      <c r="T15" s="3"/>
      <c r="U15" s="1"/>
      <c r="V15" s="8"/>
      <c r="W15" s="3"/>
      <c r="X15" s="30"/>
      <c r="Y15" s="11"/>
      <c r="Z15" s="3"/>
      <c r="AA15" s="30"/>
      <c r="AB15" s="5"/>
      <c r="AC15" s="8"/>
      <c r="AD15" s="3"/>
      <c r="AE15" s="30"/>
      <c r="AF15" s="1"/>
      <c r="AG15" s="1"/>
      <c r="AH15" s="3"/>
      <c r="AI15" s="1"/>
      <c r="AJ15" s="3"/>
      <c r="AK15" s="1"/>
      <c r="AL15" s="3"/>
      <c r="AM15" s="35"/>
      <c r="AN15" s="1"/>
    </row>
    <row r="16" spans="1:42" ht="19.5" thickBot="1">
      <c r="A16" s="8"/>
      <c r="B16" s="3"/>
      <c r="C16" s="1"/>
      <c r="D16" s="3"/>
      <c r="E16" s="8"/>
      <c r="F16" s="3"/>
      <c r="G16" s="1"/>
      <c r="H16" s="1"/>
      <c r="I16" s="8">
        <v>0.04</v>
      </c>
      <c r="J16" s="3"/>
      <c r="K16" s="1"/>
      <c r="L16" s="3"/>
      <c r="M16" s="3"/>
      <c r="N16" s="3"/>
      <c r="O16" s="1"/>
      <c r="P16" s="8"/>
      <c r="Q16" s="3"/>
      <c r="R16" s="1"/>
      <c r="S16" s="1"/>
      <c r="T16" s="3"/>
      <c r="U16" s="1"/>
      <c r="V16" s="8"/>
      <c r="W16" s="3"/>
      <c r="X16" s="1"/>
      <c r="Y16" s="8"/>
      <c r="Z16" s="3"/>
      <c r="AA16" s="1"/>
      <c r="AB16" s="3"/>
      <c r="AC16" s="8"/>
      <c r="AD16" s="3"/>
      <c r="AE16" s="1"/>
      <c r="AF16" s="1"/>
      <c r="AG16" s="1"/>
      <c r="AH16" s="3"/>
      <c r="AI16" s="1"/>
      <c r="AJ16" s="3"/>
      <c r="AK16" s="1"/>
      <c r="AL16" s="3"/>
      <c r="AM16" s="1"/>
      <c r="AN16" s="1"/>
    </row>
    <row r="17" spans="1:40">
      <c r="A17" s="17">
        <v>2</v>
      </c>
      <c r="B17" s="3" t="b">
        <v>0</v>
      </c>
      <c r="C17" s="31" t="s">
        <v>101</v>
      </c>
      <c r="D17" s="5"/>
      <c r="E17" s="8">
        <v>0.02</v>
      </c>
      <c r="F17" s="3" t="b">
        <v>0</v>
      </c>
      <c r="G17" s="31" t="s">
        <v>111</v>
      </c>
      <c r="H17" s="5" t="b">
        <v>0</v>
      </c>
      <c r="I17" s="31" t="s">
        <v>15</v>
      </c>
      <c r="J17" s="3" t="b">
        <v>0</v>
      </c>
      <c r="K17" s="31" t="s">
        <v>116</v>
      </c>
      <c r="L17" s="5"/>
      <c r="M17" s="8">
        <v>0.1</v>
      </c>
      <c r="N17" s="3" t="b">
        <v>0</v>
      </c>
      <c r="O17" s="31" t="s">
        <v>119</v>
      </c>
      <c r="P17" s="10">
        <v>0.1</v>
      </c>
      <c r="Q17" s="3" t="b">
        <v>0</v>
      </c>
      <c r="R17" s="31" t="s">
        <v>123</v>
      </c>
      <c r="S17" s="2"/>
      <c r="T17" s="3"/>
      <c r="U17" s="1"/>
      <c r="V17" s="8"/>
      <c r="W17" s="3" t="b">
        <v>0</v>
      </c>
      <c r="X17" s="31" t="s">
        <v>9</v>
      </c>
      <c r="Y17" s="10"/>
      <c r="Z17" s="3" t="b">
        <v>1</v>
      </c>
      <c r="AA17" s="34" t="s">
        <v>7</v>
      </c>
      <c r="AB17" s="5"/>
      <c r="AC17" s="8">
        <v>0.15</v>
      </c>
      <c r="AD17" s="3" t="b">
        <v>0</v>
      </c>
      <c r="AE17" s="31" t="s">
        <v>138</v>
      </c>
      <c r="AF17" s="5" t="b">
        <v>0</v>
      </c>
      <c r="AG17" s="31" t="s">
        <v>15</v>
      </c>
      <c r="AH17" s="5" t="b">
        <v>1</v>
      </c>
      <c r="AI17" s="34" t="s">
        <v>7</v>
      </c>
      <c r="AJ17" s="5"/>
      <c r="AK17" s="1"/>
      <c r="AL17" s="3" t="b">
        <v>1</v>
      </c>
      <c r="AM17" s="34" t="s">
        <v>7</v>
      </c>
      <c r="AN17" s="1"/>
    </row>
    <row r="18" spans="1:40" ht="19.5" thickBot="1">
      <c r="A18" s="8"/>
      <c r="B18" s="3"/>
      <c r="C18" s="30"/>
      <c r="D18" s="5"/>
      <c r="E18" s="3"/>
      <c r="F18" s="3"/>
      <c r="G18" s="30"/>
      <c r="H18" s="2"/>
      <c r="I18" s="30"/>
      <c r="J18" s="3"/>
      <c r="K18" s="30"/>
      <c r="L18" s="5"/>
      <c r="M18" s="3"/>
      <c r="N18" s="3"/>
      <c r="O18" s="30"/>
      <c r="P18" s="10"/>
      <c r="Q18" s="3"/>
      <c r="R18" s="30"/>
      <c r="S18" s="2"/>
      <c r="T18" s="3"/>
      <c r="U18" s="1"/>
      <c r="V18" s="8"/>
      <c r="W18" s="3"/>
      <c r="X18" s="30"/>
      <c r="Y18" s="10"/>
      <c r="Z18" s="3"/>
      <c r="AA18" s="35"/>
      <c r="AB18" s="5"/>
      <c r="AC18" s="8"/>
      <c r="AD18" s="3"/>
      <c r="AE18" s="30"/>
      <c r="AF18" s="2"/>
      <c r="AG18" s="30"/>
      <c r="AH18" s="5"/>
      <c r="AI18" s="35"/>
      <c r="AJ18" s="5"/>
      <c r="AK18" s="1"/>
      <c r="AL18" s="3"/>
      <c r="AM18" s="35"/>
      <c r="AN18" s="1"/>
    </row>
    <row r="19" spans="1:40">
      <c r="A19" s="8"/>
      <c r="B19" s="3"/>
      <c r="C19" s="1"/>
      <c r="D19" s="3"/>
      <c r="E19" s="3"/>
      <c r="F19" s="3"/>
      <c r="G19" s="1"/>
      <c r="H19" s="1"/>
      <c r="I19" s="1"/>
      <c r="J19" s="3"/>
      <c r="K19" s="1"/>
      <c r="L19" s="3"/>
      <c r="M19" s="3"/>
      <c r="N19" s="3"/>
      <c r="O19" s="1"/>
      <c r="P19" s="8"/>
      <c r="Q19" s="3"/>
      <c r="R19" s="1"/>
      <c r="S19" s="1"/>
      <c r="T19" s="3"/>
      <c r="U19" s="1"/>
      <c r="V19" s="8"/>
      <c r="W19" s="3"/>
      <c r="X19" s="1"/>
      <c r="Y19" s="8"/>
      <c r="Z19" s="3"/>
      <c r="AA19" s="1"/>
      <c r="AB19" s="3"/>
      <c r="AC19" s="8"/>
      <c r="AD19" s="3"/>
      <c r="AE19" s="1"/>
      <c r="AF19" s="1"/>
      <c r="AG19" s="1"/>
      <c r="AH19" s="3"/>
      <c r="AI19" s="1"/>
      <c r="AJ19" s="3"/>
      <c r="AK19" s="1"/>
      <c r="AL19" s="3"/>
      <c r="AM19" s="1"/>
      <c r="AN19" s="1"/>
    </row>
    <row r="20" spans="1:40">
      <c r="A20" s="8"/>
      <c r="B20" s="3"/>
      <c r="C20" s="1"/>
      <c r="D20" s="3"/>
      <c r="E20" s="3"/>
      <c r="F20" s="3"/>
      <c r="G20" s="1"/>
      <c r="H20" s="1"/>
      <c r="I20" s="1"/>
      <c r="J20" s="3"/>
      <c r="K20" s="1"/>
      <c r="L20" s="3"/>
      <c r="M20" s="1"/>
      <c r="N20" s="3"/>
      <c r="O20" s="1"/>
      <c r="P20" s="8"/>
      <c r="Q20" s="3"/>
      <c r="R20" s="1"/>
      <c r="S20" s="1"/>
      <c r="T20" s="3"/>
      <c r="U20" s="1"/>
      <c r="V20" s="8"/>
      <c r="W20" s="3"/>
      <c r="X20" s="1"/>
      <c r="Y20" s="8"/>
      <c r="Z20" s="3"/>
      <c r="AA20" s="1"/>
      <c r="AB20" s="3"/>
      <c r="AC20" s="1"/>
      <c r="AD20" s="3"/>
      <c r="AE20" s="1"/>
      <c r="AF20" s="1"/>
      <c r="AG20" s="1"/>
      <c r="AH20" s="3"/>
      <c r="AI20" s="1"/>
      <c r="AJ20" s="3"/>
      <c r="AK20" s="1"/>
      <c r="AL20" s="3"/>
      <c r="AM20" s="1"/>
      <c r="AN20" s="1"/>
    </row>
    <row r="21" spans="1:40">
      <c r="A21" s="8"/>
      <c r="B21" s="3"/>
      <c r="C21" s="1"/>
      <c r="D21" s="3"/>
      <c r="E21" s="3"/>
      <c r="F21" s="3"/>
      <c r="G21" s="1"/>
      <c r="H21" s="1"/>
      <c r="I21" s="1"/>
      <c r="J21" s="3"/>
      <c r="K21" s="1"/>
      <c r="L21" s="3"/>
      <c r="M21" s="1"/>
      <c r="N21" s="3"/>
      <c r="O21" s="1"/>
      <c r="P21" s="8"/>
      <c r="Q21" s="3"/>
      <c r="R21" s="1"/>
      <c r="S21" s="1"/>
      <c r="T21" s="3"/>
      <c r="U21" s="1"/>
      <c r="V21" s="8"/>
      <c r="W21" s="3"/>
      <c r="X21" s="1"/>
      <c r="Y21" s="8"/>
      <c r="Z21" s="3"/>
      <c r="AA21" s="1"/>
      <c r="AB21" s="3"/>
      <c r="AC21" s="1"/>
      <c r="AD21" s="3"/>
      <c r="AE21" s="1"/>
      <c r="AF21" s="1"/>
      <c r="AG21" s="1"/>
      <c r="AH21" s="3"/>
      <c r="AI21" s="1"/>
      <c r="AJ21" s="3"/>
      <c r="AK21" s="1"/>
      <c r="AL21" s="3"/>
      <c r="AM21" s="1"/>
      <c r="AN21" s="1"/>
    </row>
    <row r="22" spans="1:40" ht="19.5" thickBot="1">
      <c r="A22" s="8"/>
      <c r="B22" s="3"/>
      <c r="C22" s="1"/>
      <c r="D22" s="3"/>
      <c r="E22" s="1"/>
      <c r="F22" s="3"/>
      <c r="G22" s="1"/>
      <c r="H22" s="3"/>
      <c r="I22" s="1"/>
      <c r="J22" s="3"/>
      <c r="K22" s="1"/>
      <c r="L22" s="3"/>
      <c r="M22" s="1"/>
      <c r="N22" s="3"/>
      <c r="O22" s="1"/>
      <c r="P22" s="8"/>
      <c r="Q22" s="3" t="s">
        <v>157</v>
      </c>
      <c r="R22" s="1"/>
      <c r="S22" s="1"/>
      <c r="T22" s="3"/>
      <c r="U22" s="1"/>
      <c r="V22" s="8"/>
      <c r="W22" s="3"/>
      <c r="X22" s="1"/>
      <c r="Y22" s="8"/>
      <c r="Z22" s="3"/>
      <c r="AA22" s="3"/>
      <c r="AB22" s="3"/>
      <c r="AC22" s="1"/>
      <c r="AD22" s="3"/>
      <c r="AE22" s="1"/>
      <c r="AF22" s="1"/>
      <c r="AG22" s="1"/>
      <c r="AH22" s="3"/>
      <c r="AI22" s="3"/>
      <c r="AJ22" s="3"/>
      <c r="AK22" s="1"/>
      <c r="AL22" s="3"/>
      <c r="AM22" s="1"/>
      <c r="AN22" s="1"/>
    </row>
    <row r="23" spans="1:40">
      <c r="A23" s="8"/>
      <c r="B23" s="3"/>
      <c r="C23" s="8">
        <v>0.05</v>
      </c>
      <c r="D23" s="3" t="b">
        <v>0</v>
      </c>
      <c r="E23" s="31" t="s">
        <v>106</v>
      </c>
      <c r="F23" s="5"/>
      <c r="G23" s="1"/>
      <c r="H23" s="3" t="b">
        <v>0</v>
      </c>
      <c r="I23" s="31" t="s">
        <v>15</v>
      </c>
      <c r="J23" s="5"/>
      <c r="K23" s="9">
        <v>0.04</v>
      </c>
      <c r="L23" s="3" t="b">
        <v>0</v>
      </c>
      <c r="M23" s="31" t="s">
        <v>126</v>
      </c>
      <c r="N23" s="5"/>
      <c r="O23" s="1"/>
      <c r="P23" s="8"/>
      <c r="Q23" s="3"/>
      <c r="R23" s="1"/>
      <c r="S23" s="3">
        <v>2</v>
      </c>
      <c r="T23" s="3" t="b">
        <v>0</v>
      </c>
      <c r="U23" s="31" t="s">
        <v>10</v>
      </c>
      <c r="V23" s="8"/>
      <c r="W23" s="3"/>
      <c r="X23" s="1"/>
      <c r="Y23" s="8"/>
      <c r="Z23" s="3"/>
      <c r="AA23" s="8">
        <v>0.04</v>
      </c>
      <c r="AB23" s="3" t="b">
        <v>0</v>
      </c>
      <c r="AC23" s="31" t="s">
        <v>126</v>
      </c>
      <c r="AD23" s="5"/>
      <c r="AE23" s="1"/>
      <c r="AF23" s="3" t="b">
        <v>0</v>
      </c>
      <c r="AG23" s="31" t="s">
        <v>15</v>
      </c>
      <c r="AH23" s="5"/>
      <c r="AI23" s="8">
        <v>0.05</v>
      </c>
      <c r="AJ23" s="3" t="b">
        <v>0</v>
      </c>
      <c r="AK23" s="31" t="s">
        <v>106</v>
      </c>
      <c r="AL23" s="5"/>
      <c r="AM23" s="1"/>
      <c r="AN23" s="1"/>
    </row>
    <row r="24" spans="1:40" ht="19.5" thickBot="1">
      <c r="A24" s="8"/>
      <c r="B24" s="3"/>
      <c r="C24" s="1"/>
      <c r="D24" s="3"/>
      <c r="E24" s="30"/>
      <c r="F24" s="5"/>
      <c r="G24" s="1"/>
      <c r="H24" s="1"/>
      <c r="I24" s="30"/>
      <c r="J24" s="5"/>
      <c r="K24" s="1"/>
      <c r="L24" s="3"/>
      <c r="M24" s="30"/>
      <c r="N24" s="5"/>
      <c r="O24" s="1"/>
      <c r="P24" s="8"/>
      <c r="Q24" s="3"/>
      <c r="R24" s="1"/>
      <c r="S24" s="1"/>
      <c r="T24" s="3"/>
      <c r="U24" s="30"/>
      <c r="V24" s="8"/>
      <c r="W24" s="3"/>
      <c r="X24" s="1"/>
      <c r="Y24" s="8"/>
      <c r="Z24" s="3"/>
      <c r="AA24" s="1"/>
      <c r="AB24" s="3"/>
      <c r="AC24" s="30"/>
      <c r="AD24" s="5"/>
      <c r="AE24" s="1"/>
      <c r="AF24" s="1"/>
      <c r="AG24" s="30"/>
      <c r="AH24" s="5"/>
      <c r="AI24" s="1"/>
      <c r="AJ24" s="3"/>
      <c r="AK24" s="30"/>
      <c r="AL24" s="5"/>
      <c r="AM24" s="1"/>
      <c r="AN24" s="1"/>
    </row>
    <row r="25" spans="1:40" ht="19.5" thickBot="1">
      <c r="A25" s="8"/>
      <c r="B25" s="3"/>
      <c r="C25" s="1"/>
      <c r="D25" s="3"/>
      <c r="E25" s="1"/>
      <c r="F25" s="3"/>
      <c r="G25" s="1"/>
      <c r="H25" s="1"/>
      <c r="I25" s="1"/>
      <c r="J25" s="3"/>
      <c r="K25" s="1"/>
      <c r="L25" s="3"/>
      <c r="M25" s="1"/>
      <c r="N25" s="3"/>
      <c r="O25" s="1"/>
      <c r="P25" s="8"/>
      <c r="Q25" s="3"/>
      <c r="R25" s="1"/>
      <c r="S25" s="1"/>
      <c r="T25" s="3"/>
      <c r="U25" s="1"/>
      <c r="V25" s="8"/>
      <c r="W25" s="3"/>
      <c r="X25" s="1"/>
      <c r="Y25" s="8"/>
      <c r="Z25" s="3"/>
      <c r="AA25" s="1"/>
      <c r="AB25" s="3"/>
      <c r="AC25" s="1"/>
      <c r="AD25" s="3"/>
      <c r="AE25" s="1"/>
      <c r="AF25" s="1"/>
      <c r="AG25" s="1"/>
      <c r="AH25" s="3"/>
      <c r="AI25" s="1"/>
      <c r="AJ25" s="3"/>
      <c r="AK25" s="1"/>
      <c r="AL25" s="3"/>
      <c r="AM25" s="1"/>
      <c r="AN25" s="1"/>
    </row>
    <row r="26" spans="1:40">
      <c r="A26" s="8">
        <v>0.05</v>
      </c>
      <c r="B26" s="3" t="b">
        <v>0</v>
      </c>
      <c r="C26" s="31" t="s">
        <v>104</v>
      </c>
      <c r="D26" s="5"/>
      <c r="E26" s="8">
        <v>0.15</v>
      </c>
      <c r="F26" s="3" t="b">
        <v>0</v>
      </c>
      <c r="G26" s="31" t="s">
        <v>109</v>
      </c>
      <c r="H26" s="2"/>
      <c r="I26" s="3">
        <v>3</v>
      </c>
      <c r="J26" s="3" t="b">
        <v>0</v>
      </c>
      <c r="K26" s="31" t="s">
        <v>13</v>
      </c>
      <c r="L26" s="5"/>
      <c r="M26" s="1"/>
      <c r="N26" s="3" t="b">
        <v>1</v>
      </c>
      <c r="O26" s="34" t="s">
        <v>7</v>
      </c>
      <c r="P26" s="10">
        <v>0.15</v>
      </c>
      <c r="Q26" s="3" t="b">
        <v>0</v>
      </c>
      <c r="R26" s="31" t="s">
        <v>124</v>
      </c>
      <c r="S26" s="1"/>
      <c r="T26" s="3"/>
      <c r="U26" s="1"/>
      <c r="V26" s="14">
        <v>1</v>
      </c>
      <c r="W26" s="3" t="b">
        <v>0</v>
      </c>
      <c r="X26" s="31" t="s">
        <v>4</v>
      </c>
      <c r="Y26" s="10"/>
      <c r="Z26" s="3" t="b">
        <v>0</v>
      </c>
      <c r="AA26" s="31" t="s">
        <v>12</v>
      </c>
      <c r="AB26" s="5"/>
      <c r="AC26" s="8">
        <v>0.03</v>
      </c>
      <c r="AD26" s="3" t="b">
        <v>0</v>
      </c>
      <c r="AE26" s="31" t="s">
        <v>117</v>
      </c>
      <c r="AF26" s="2"/>
      <c r="AG26" s="8">
        <v>0.15</v>
      </c>
      <c r="AH26" s="3" t="b">
        <v>0</v>
      </c>
      <c r="AI26" s="31" t="s">
        <v>144</v>
      </c>
      <c r="AJ26" s="5"/>
      <c r="AK26" s="1"/>
      <c r="AL26" s="3" t="b">
        <v>0</v>
      </c>
      <c r="AM26" s="31" t="s">
        <v>11</v>
      </c>
      <c r="AN26" s="1"/>
    </row>
    <row r="27" spans="1:40" ht="19.5" thickBot="1">
      <c r="A27" s="8"/>
      <c r="B27" s="3"/>
      <c r="C27" s="30"/>
      <c r="D27" s="5"/>
      <c r="E27" s="8"/>
      <c r="F27" s="3"/>
      <c r="G27" s="30"/>
      <c r="H27" s="2"/>
      <c r="I27" s="1"/>
      <c r="J27" s="3"/>
      <c r="K27" s="30"/>
      <c r="L27" s="5"/>
      <c r="M27" s="1"/>
      <c r="N27" s="3"/>
      <c r="O27" s="35"/>
      <c r="P27" s="10"/>
      <c r="Q27" s="3"/>
      <c r="R27" s="30"/>
      <c r="S27" s="1"/>
      <c r="T27" s="3"/>
      <c r="U27" s="1"/>
      <c r="V27" s="8"/>
      <c r="W27" s="3"/>
      <c r="X27" s="30"/>
      <c r="Y27" s="10"/>
      <c r="Z27" s="3"/>
      <c r="AA27" s="30"/>
      <c r="AB27" s="5"/>
      <c r="AC27" s="8"/>
      <c r="AD27" s="3"/>
      <c r="AE27" s="30"/>
      <c r="AF27" s="2"/>
      <c r="AG27" s="8"/>
      <c r="AH27" s="3"/>
      <c r="AI27" s="30"/>
      <c r="AJ27" s="5"/>
      <c r="AK27" s="1"/>
      <c r="AL27" s="3"/>
      <c r="AM27" s="30"/>
      <c r="AN27" s="1"/>
    </row>
    <row r="28" spans="1:40" ht="19.5" thickBot="1">
      <c r="A28" s="8"/>
      <c r="B28" s="3"/>
      <c r="C28" s="1"/>
      <c r="D28" s="3"/>
      <c r="E28" s="8"/>
      <c r="F28" s="3"/>
      <c r="G28" s="1"/>
      <c r="H28" s="1"/>
      <c r="I28" s="1"/>
      <c r="J28" s="3"/>
      <c r="K28" s="1"/>
      <c r="L28" s="3"/>
      <c r="M28" s="1"/>
      <c r="N28" s="3"/>
      <c r="O28" s="1"/>
      <c r="P28" s="8"/>
      <c r="Q28" s="3"/>
      <c r="R28" s="1"/>
      <c r="S28" s="1"/>
      <c r="T28" s="3"/>
      <c r="U28" s="1"/>
      <c r="V28" s="8"/>
      <c r="W28" s="3"/>
      <c r="X28" s="1"/>
      <c r="Y28" s="8"/>
      <c r="Z28" s="3"/>
      <c r="AA28" s="1"/>
      <c r="AB28" s="3"/>
      <c r="AC28" s="8"/>
      <c r="AD28" s="3"/>
      <c r="AE28" s="1"/>
      <c r="AF28" s="1"/>
      <c r="AG28" s="8"/>
      <c r="AH28" s="3"/>
      <c r="AI28" s="1"/>
      <c r="AJ28" s="3"/>
      <c r="AK28" s="1"/>
      <c r="AL28" s="3"/>
      <c r="AM28" s="1"/>
      <c r="AN28" s="1"/>
    </row>
    <row r="29" spans="1:40">
      <c r="A29" s="8"/>
      <c r="B29" s="3"/>
      <c r="C29" s="1"/>
      <c r="D29" s="3"/>
      <c r="E29" s="8">
        <v>0.04</v>
      </c>
      <c r="F29" s="3" t="b">
        <v>0</v>
      </c>
      <c r="G29" s="32" t="s">
        <v>108</v>
      </c>
      <c r="H29" s="2"/>
      <c r="I29" s="1"/>
      <c r="J29" s="3" t="b">
        <v>1</v>
      </c>
      <c r="K29" s="34" t="s">
        <v>7</v>
      </c>
      <c r="L29" s="5"/>
      <c r="M29" s="1"/>
      <c r="N29" s="3" t="b">
        <v>1</v>
      </c>
      <c r="O29" s="34" t="s">
        <v>7</v>
      </c>
      <c r="P29" s="10">
        <v>0.18</v>
      </c>
      <c r="Q29" s="3" t="b">
        <v>0</v>
      </c>
      <c r="R29" s="31" t="s">
        <v>125</v>
      </c>
      <c r="S29" s="1"/>
      <c r="T29" s="3"/>
      <c r="U29" s="1"/>
      <c r="V29" s="8">
        <v>0.08</v>
      </c>
      <c r="W29" s="3" t="b">
        <v>0</v>
      </c>
      <c r="X29" s="31" t="s">
        <v>132</v>
      </c>
      <c r="Y29" s="10">
        <v>0.15</v>
      </c>
      <c r="Z29" s="3" t="b">
        <v>0</v>
      </c>
      <c r="AA29" s="31" t="s">
        <v>137</v>
      </c>
      <c r="AB29" s="5"/>
      <c r="AC29" s="8"/>
      <c r="AD29" s="3"/>
      <c r="AE29" s="1"/>
      <c r="AF29" s="1"/>
      <c r="AG29" s="8"/>
      <c r="AH29" s="3"/>
      <c r="AI29" s="1"/>
      <c r="AJ29" s="3"/>
      <c r="AK29" s="8">
        <v>0.04</v>
      </c>
      <c r="AL29" s="3" t="b">
        <v>0</v>
      </c>
      <c r="AM29" s="31" t="s">
        <v>108</v>
      </c>
      <c r="AN29" s="1"/>
    </row>
    <row r="30" spans="1:40" ht="19.5" thickBot="1">
      <c r="A30" s="8"/>
      <c r="B30" s="3"/>
      <c r="C30" s="1"/>
      <c r="D30" s="3"/>
      <c r="E30" s="8"/>
      <c r="F30" s="3"/>
      <c r="G30" s="33"/>
      <c r="H30" s="2"/>
      <c r="I30" s="1"/>
      <c r="J30" s="3"/>
      <c r="K30" s="35"/>
      <c r="L30" s="5"/>
      <c r="M30" s="1"/>
      <c r="N30" s="3"/>
      <c r="O30" s="35"/>
      <c r="P30" s="10"/>
      <c r="Q30" s="3"/>
      <c r="R30" s="30"/>
      <c r="S30" s="1"/>
      <c r="T30" s="3"/>
      <c r="U30" s="1"/>
      <c r="V30" s="8"/>
      <c r="W30" s="3"/>
      <c r="X30" s="30"/>
      <c r="Y30" s="10"/>
      <c r="Z30" s="3"/>
      <c r="AA30" s="30"/>
      <c r="AB30" s="5"/>
      <c r="AC30" s="8"/>
      <c r="AD30" s="3"/>
      <c r="AE30" s="1"/>
      <c r="AF30" s="1"/>
      <c r="AG30" s="8"/>
      <c r="AH30" s="3"/>
      <c r="AI30" s="1"/>
      <c r="AJ30" s="3"/>
      <c r="AK30" s="1"/>
      <c r="AL30" s="3"/>
      <c r="AM30" s="30"/>
      <c r="AN30" s="1"/>
    </row>
    <row r="31" spans="1:40" ht="19.5" thickBot="1">
      <c r="A31" s="8"/>
      <c r="B31" s="3"/>
      <c r="C31" s="1"/>
      <c r="D31" s="3"/>
      <c r="E31" s="8"/>
      <c r="F31" s="3"/>
      <c r="G31" s="1"/>
      <c r="H31" s="1"/>
      <c r="I31" s="1"/>
      <c r="J31" s="3"/>
      <c r="K31" s="1"/>
      <c r="L31" s="3"/>
      <c r="M31" s="1"/>
      <c r="N31" s="3"/>
      <c r="O31" s="1"/>
      <c r="P31" s="8"/>
      <c r="Q31" s="3"/>
      <c r="R31" s="1"/>
      <c r="S31" s="1"/>
      <c r="T31" s="3"/>
      <c r="U31" s="1"/>
      <c r="V31" s="8"/>
      <c r="W31" s="3"/>
      <c r="X31" s="1"/>
      <c r="Y31" s="8"/>
      <c r="Z31" s="3"/>
      <c r="AA31" s="1"/>
      <c r="AB31" s="3"/>
      <c r="AC31" s="8"/>
      <c r="AD31" s="3"/>
      <c r="AE31" s="1"/>
      <c r="AF31" s="1"/>
      <c r="AG31" s="8"/>
      <c r="AH31" s="3"/>
      <c r="AI31" s="1"/>
      <c r="AJ31" s="3"/>
      <c r="AK31" s="1"/>
      <c r="AL31" s="3"/>
      <c r="AM31" s="1"/>
      <c r="AN31" s="1"/>
    </row>
    <row r="32" spans="1:40">
      <c r="A32" s="8"/>
      <c r="B32" s="3"/>
      <c r="C32" s="1"/>
      <c r="D32" s="3"/>
      <c r="E32" s="8"/>
      <c r="F32" s="3" t="b">
        <v>0</v>
      </c>
      <c r="G32" s="34" t="s">
        <v>7</v>
      </c>
      <c r="H32" s="2"/>
      <c r="I32" s="1"/>
      <c r="J32" s="3" t="b">
        <v>1</v>
      </c>
      <c r="K32" s="34" t="s">
        <v>7</v>
      </c>
      <c r="L32" s="5"/>
      <c r="M32" s="1"/>
      <c r="N32" s="3"/>
      <c r="O32" s="1"/>
      <c r="P32" s="8">
        <v>0.04</v>
      </c>
      <c r="Q32" s="3" t="b">
        <v>0</v>
      </c>
      <c r="R32" s="31" t="s">
        <v>126</v>
      </c>
      <c r="S32" s="2"/>
      <c r="T32" s="3"/>
      <c r="U32" s="1"/>
      <c r="V32" s="8">
        <v>0.12</v>
      </c>
      <c r="W32" s="3" t="b">
        <v>0</v>
      </c>
      <c r="X32" s="31" t="s">
        <v>133</v>
      </c>
      <c r="Y32" s="10">
        <v>0.15</v>
      </c>
      <c r="Z32" s="3" t="b">
        <v>0</v>
      </c>
      <c r="AA32" s="31" t="s">
        <v>138</v>
      </c>
      <c r="AB32" s="5"/>
      <c r="AC32" s="8">
        <v>0.04</v>
      </c>
      <c r="AD32" s="3" t="b">
        <v>0</v>
      </c>
      <c r="AE32" s="31" t="s">
        <v>126</v>
      </c>
      <c r="AF32" s="1"/>
      <c r="AG32" s="8">
        <v>0.08</v>
      </c>
      <c r="AH32" s="3" t="b">
        <v>0</v>
      </c>
      <c r="AI32" s="31" t="s">
        <v>132</v>
      </c>
      <c r="AJ32" s="3"/>
      <c r="AK32" s="1"/>
      <c r="AL32" s="3" t="b">
        <v>1</v>
      </c>
      <c r="AM32" s="34" t="s">
        <v>7</v>
      </c>
      <c r="AN32" s="1"/>
    </row>
    <row r="33" spans="1:40" ht="19.5" thickBot="1">
      <c r="A33" s="8"/>
      <c r="B33" s="3"/>
      <c r="C33" s="1"/>
      <c r="D33" s="3"/>
      <c r="E33" s="8"/>
      <c r="F33" s="3"/>
      <c r="G33" s="35"/>
      <c r="H33" s="2"/>
      <c r="I33" s="1"/>
      <c r="J33" s="3"/>
      <c r="K33" s="35"/>
      <c r="L33" s="5"/>
      <c r="M33" s="1"/>
      <c r="N33" s="3"/>
      <c r="O33" s="1"/>
      <c r="P33" s="8"/>
      <c r="Q33" s="3"/>
      <c r="R33" s="30"/>
      <c r="S33" s="2"/>
      <c r="T33" s="3"/>
      <c r="U33" s="1"/>
      <c r="V33" s="8"/>
      <c r="W33" s="3"/>
      <c r="X33" s="30"/>
      <c r="Y33" s="10"/>
      <c r="Z33" s="3"/>
      <c r="AA33" s="30"/>
      <c r="AB33" s="5"/>
      <c r="AC33" s="8"/>
      <c r="AD33" s="3"/>
      <c r="AE33" s="30"/>
      <c r="AF33" s="1"/>
      <c r="AG33" s="1"/>
      <c r="AH33" s="3"/>
      <c r="AI33" s="30"/>
      <c r="AJ33" s="3"/>
      <c r="AK33" s="1"/>
      <c r="AL33" s="3"/>
      <c r="AM33" s="35"/>
      <c r="AN33" s="1"/>
    </row>
    <row r="34" spans="1:40" ht="19.5" thickBot="1">
      <c r="A34" s="8"/>
      <c r="B34" s="3"/>
      <c r="C34" s="1"/>
      <c r="D34" s="3"/>
      <c r="E34" s="8"/>
      <c r="F34" s="3"/>
      <c r="G34" s="1"/>
      <c r="H34" s="1"/>
      <c r="I34" s="1"/>
      <c r="J34" s="3"/>
      <c r="K34" s="1"/>
      <c r="L34" s="3"/>
      <c r="M34" s="1"/>
      <c r="N34" s="3"/>
      <c r="O34" s="1"/>
      <c r="P34" s="8"/>
      <c r="Q34" s="3"/>
      <c r="R34" s="1"/>
      <c r="S34" s="1"/>
      <c r="T34" s="3"/>
      <c r="U34" s="1"/>
      <c r="V34" s="8"/>
      <c r="W34" s="3"/>
      <c r="X34" s="1"/>
      <c r="Y34" s="8"/>
      <c r="Z34" s="3"/>
      <c r="AA34" s="1"/>
      <c r="AB34" s="3"/>
      <c r="AC34" s="8"/>
      <c r="AD34" s="3"/>
      <c r="AE34" s="1"/>
      <c r="AF34" s="1"/>
      <c r="AG34" s="1"/>
      <c r="AH34" s="3"/>
      <c r="AI34" s="1"/>
      <c r="AJ34" s="3"/>
      <c r="AK34" s="1"/>
      <c r="AL34" s="3"/>
      <c r="AM34" s="1"/>
      <c r="AN34" s="1"/>
    </row>
    <row r="35" spans="1:40">
      <c r="A35" s="8"/>
      <c r="B35" s="3" t="b">
        <v>1</v>
      </c>
      <c r="C35" s="34" t="s">
        <v>7</v>
      </c>
      <c r="D35" s="5"/>
      <c r="E35" s="8">
        <v>0.09</v>
      </c>
      <c r="F35" s="3" t="b">
        <v>0</v>
      </c>
      <c r="G35" s="31" t="s">
        <v>110</v>
      </c>
      <c r="H35" s="2"/>
      <c r="I35" s="8">
        <v>0.03</v>
      </c>
      <c r="J35" s="3" t="b">
        <v>0</v>
      </c>
      <c r="K35" s="31" t="s">
        <v>117</v>
      </c>
      <c r="L35" s="5"/>
      <c r="M35" s="9">
        <v>0.17</v>
      </c>
      <c r="N35" s="3" t="b">
        <v>0</v>
      </c>
      <c r="O35" s="31" t="s">
        <v>118</v>
      </c>
      <c r="P35" s="10">
        <v>0.17</v>
      </c>
      <c r="Q35" s="3" t="b">
        <v>0</v>
      </c>
      <c r="R35" s="31" t="s">
        <v>118</v>
      </c>
      <c r="S35" s="2"/>
      <c r="T35" s="3"/>
      <c r="U35" s="1"/>
      <c r="V35" s="8">
        <v>0.06</v>
      </c>
      <c r="W35" s="3" t="b">
        <v>0</v>
      </c>
      <c r="X35" s="31" t="s">
        <v>134</v>
      </c>
      <c r="Y35" s="10">
        <v>0.6</v>
      </c>
      <c r="Z35" s="3" t="b">
        <v>0</v>
      </c>
      <c r="AA35" s="31" t="s">
        <v>139</v>
      </c>
      <c r="AB35" s="5"/>
      <c r="AC35" s="8">
        <v>0.19</v>
      </c>
      <c r="AD35" s="3" t="b">
        <v>0</v>
      </c>
      <c r="AE35" s="31" t="s">
        <v>143</v>
      </c>
      <c r="AF35" s="1"/>
      <c r="AG35" s="1"/>
      <c r="AH35" s="3" t="b">
        <v>1</v>
      </c>
      <c r="AI35" s="34" t="s">
        <v>7</v>
      </c>
      <c r="AJ35" s="5"/>
      <c r="AK35" s="1"/>
      <c r="AL35" s="3" t="b">
        <v>1</v>
      </c>
      <c r="AM35" s="34" t="s">
        <v>7</v>
      </c>
      <c r="AN35" s="1"/>
    </row>
    <row r="36" spans="1:40" ht="19.5" thickBot="1">
      <c r="A36" s="8"/>
      <c r="B36" s="3"/>
      <c r="C36" s="35"/>
      <c r="D36" s="5"/>
      <c r="E36" s="3"/>
      <c r="F36" s="3"/>
      <c r="G36" s="30"/>
      <c r="H36" s="2"/>
      <c r="I36" s="1"/>
      <c r="J36" s="3"/>
      <c r="K36" s="30"/>
      <c r="L36" s="5"/>
      <c r="M36" s="1"/>
      <c r="N36" s="3"/>
      <c r="O36" s="30"/>
      <c r="P36" s="10"/>
      <c r="Q36" s="3"/>
      <c r="R36" s="30"/>
      <c r="S36" s="2"/>
      <c r="T36" s="3"/>
      <c r="U36" s="1"/>
      <c r="V36" s="3"/>
      <c r="W36" s="3"/>
      <c r="X36" s="30"/>
      <c r="Y36" s="2"/>
      <c r="Z36" s="3"/>
      <c r="AA36" s="30"/>
      <c r="AB36" s="5"/>
      <c r="AC36" s="7"/>
      <c r="AD36" s="3"/>
      <c r="AE36" s="30"/>
      <c r="AF36" s="1"/>
      <c r="AG36" s="1"/>
      <c r="AH36" s="3"/>
      <c r="AI36" s="35"/>
      <c r="AJ36" s="5"/>
      <c r="AK36" s="1"/>
      <c r="AL36" s="3"/>
      <c r="AM36" s="35"/>
      <c r="AN36" s="1"/>
    </row>
    <row r="37" spans="1:40" ht="19.5" thickBot="1">
      <c r="A37" s="8"/>
      <c r="B37" s="3"/>
      <c r="C37" s="1"/>
      <c r="D37" s="3"/>
      <c r="E37" s="1"/>
      <c r="F37" s="3"/>
      <c r="G37" s="1"/>
      <c r="H37" s="1"/>
      <c r="I37" s="1"/>
      <c r="J37" s="3"/>
      <c r="K37" s="1"/>
      <c r="L37" s="3"/>
      <c r="M37" s="1"/>
      <c r="N37" s="3"/>
      <c r="O37" s="1"/>
      <c r="P37" s="1"/>
      <c r="Q37" s="3"/>
      <c r="R37" s="1"/>
      <c r="S37" s="1"/>
      <c r="T37" s="3"/>
      <c r="U37" s="1"/>
      <c r="V37" s="1"/>
      <c r="W37" s="3"/>
      <c r="X37" s="1"/>
      <c r="Y37" s="1"/>
      <c r="Z37" s="3"/>
      <c r="AA37" s="1"/>
      <c r="AB37" s="3"/>
      <c r="AC37" s="1"/>
      <c r="AD37" s="3"/>
      <c r="AE37" s="1"/>
      <c r="AF37" s="1"/>
      <c r="AG37" s="1"/>
      <c r="AH37" s="3"/>
      <c r="AI37" s="1"/>
      <c r="AJ37" s="3"/>
      <c r="AK37" s="1"/>
      <c r="AL37" s="3"/>
      <c r="AM37" s="1"/>
      <c r="AN37" s="1"/>
    </row>
    <row r="38" spans="1:40">
      <c r="A38" s="8"/>
      <c r="B38" s="3"/>
      <c r="C38" s="8">
        <v>0.05</v>
      </c>
      <c r="D38" s="3" t="b">
        <v>0</v>
      </c>
      <c r="E38" s="31" t="s">
        <v>107</v>
      </c>
      <c r="F38" s="5"/>
      <c r="G38" s="1"/>
      <c r="H38" s="1"/>
      <c r="I38" s="1"/>
      <c r="J38" s="3"/>
      <c r="K38" s="1"/>
      <c r="L38" s="3" t="b">
        <v>1</v>
      </c>
      <c r="M38" s="34" t="s">
        <v>7</v>
      </c>
      <c r="N38" s="5"/>
      <c r="O38" s="1"/>
      <c r="P38" s="1"/>
      <c r="Q38" s="3"/>
      <c r="R38" s="1"/>
      <c r="S38" s="8">
        <v>0.06</v>
      </c>
      <c r="T38" s="3" t="b">
        <v>0</v>
      </c>
      <c r="U38" s="31" t="s">
        <v>127</v>
      </c>
      <c r="V38" s="1"/>
      <c r="W38" s="3"/>
      <c r="X38" s="1"/>
      <c r="Y38" s="1"/>
      <c r="Z38" s="3"/>
      <c r="AA38" s="1"/>
      <c r="AB38" s="3" t="b">
        <v>1</v>
      </c>
      <c r="AC38" s="34" t="s">
        <v>7</v>
      </c>
      <c r="AD38" s="5"/>
      <c r="AE38" s="1"/>
      <c r="AF38" s="1"/>
      <c r="AG38" s="1"/>
      <c r="AH38" s="3"/>
      <c r="AI38" s="8">
        <v>0.15</v>
      </c>
      <c r="AJ38" s="3" t="b">
        <v>0</v>
      </c>
      <c r="AK38" s="31" t="s">
        <v>146</v>
      </c>
      <c r="AL38" s="5"/>
      <c r="AM38" s="1"/>
      <c r="AN38" s="1"/>
    </row>
    <row r="39" spans="1:40" ht="19.5" thickBot="1">
      <c r="A39" s="8"/>
      <c r="B39" s="3"/>
      <c r="C39" s="3"/>
      <c r="D39" s="3"/>
      <c r="E39" s="30"/>
      <c r="F39" s="5"/>
      <c r="G39" s="1"/>
      <c r="H39" s="1"/>
      <c r="I39" s="1"/>
      <c r="J39" s="3"/>
      <c r="K39" s="1"/>
      <c r="L39" s="3"/>
      <c r="M39" s="35"/>
      <c r="N39" s="5"/>
      <c r="O39" s="1"/>
      <c r="P39" s="1"/>
      <c r="Q39" s="3"/>
      <c r="R39" s="1"/>
      <c r="S39" s="8"/>
      <c r="T39" s="3"/>
      <c r="U39" s="30"/>
      <c r="V39" s="1"/>
      <c r="W39" s="3"/>
      <c r="X39" s="1"/>
      <c r="Y39" s="1"/>
      <c r="Z39" s="3"/>
      <c r="AA39" s="1"/>
      <c r="AB39" s="3"/>
      <c r="AC39" s="35"/>
      <c r="AD39" s="5"/>
      <c r="AE39" s="1"/>
      <c r="AF39" s="1"/>
      <c r="AG39" s="1"/>
      <c r="AH39" s="3"/>
      <c r="AI39" s="1"/>
      <c r="AJ39" s="3"/>
      <c r="AK39" s="30"/>
      <c r="AL39" s="5"/>
      <c r="AM39" s="1"/>
      <c r="AN39" s="1"/>
    </row>
    <row r="40" spans="1:40" ht="19.5" thickBot="1">
      <c r="A40" s="8"/>
      <c r="B40" s="3"/>
      <c r="C40" s="1"/>
      <c r="D40" s="3"/>
      <c r="E40" s="1"/>
      <c r="F40" s="3"/>
      <c r="G40" s="1"/>
      <c r="H40" s="1"/>
      <c r="I40" s="1"/>
      <c r="J40" s="3"/>
      <c r="K40" s="1"/>
      <c r="L40" s="3"/>
      <c r="M40" s="1"/>
      <c r="N40" s="3"/>
      <c r="O40" s="1"/>
      <c r="P40" s="1"/>
      <c r="Q40" s="3"/>
      <c r="R40" s="1"/>
      <c r="S40" s="8"/>
      <c r="T40" s="3"/>
      <c r="U40" s="1"/>
      <c r="V40" s="1"/>
      <c r="W40" s="3"/>
      <c r="X40" s="1"/>
      <c r="Y40" s="1"/>
      <c r="Z40" s="3"/>
      <c r="AA40" s="1"/>
      <c r="AB40" s="3"/>
      <c r="AC40" s="1"/>
      <c r="AD40" s="3"/>
      <c r="AE40" s="1"/>
      <c r="AF40" s="1"/>
      <c r="AG40" s="1"/>
      <c r="AH40" s="3"/>
      <c r="AI40" s="1"/>
      <c r="AJ40" s="3"/>
      <c r="AK40" s="1"/>
      <c r="AL40" s="3"/>
      <c r="AM40" s="1"/>
      <c r="AN40" s="1"/>
    </row>
    <row r="41" spans="1:40">
      <c r="A41" s="8">
        <v>0.24</v>
      </c>
      <c r="B41" s="3" t="b">
        <v>0</v>
      </c>
      <c r="C41" s="31" t="s">
        <v>105</v>
      </c>
      <c r="D41" s="5" t="b">
        <v>0</v>
      </c>
      <c r="E41" s="31" t="s">
        <v>14</v>
      </c>
      <c r="F41" s="3"/>
      <c r="G41" s="1"/>
      <c r="H41" s="1"/>
      <c r="I41" s="1"/>
      <c r="J41" s="3"/>
      <c r="K41" s="1"/>
      <c r="L41" s="3" t="b">
        <v>1</v>
      </c>
      <c r="M41" s="34" t="s">
        <v>7</v>
      </c>
      <c r="N41" s="5"/>
      <c r="O41" s="1"/>
      <c r="P41" s="1"/>
      <c r="Q41" s="3"/>
      <c r="R41" s="1"/>
      <c r="S41" s="8">
        <v>0.38</v>
      </c>
      <c r="T41" s="3" t="b">
        <v>0</v>
      </c>
      <c r="U41" s="31" t="s">
        <v>128</v>
      </c>
      <c r="V41" s="1"/>
      <c r="W41" s="3"/>
      <c r="X41" s="1"/>
      <c r="Y41" s="1"/>
      <c r="Z41" s="3"/>
      <c r="AA41" s="1"/>
      <c r="AB41" s="3" t="b">
        <v>1</v>
      </c>
      <c r="AC41" s="34" t="s">
        <v>7</v>
      </c>
      <c r="AD41" s="5"/>
      <c r="AE41" s="1"/>
      <c r="AF41" s="1"/>
      <c r="AG41" s="1"/>
      <c r="AH41" s="3"/>
      <c r="AI41" s="1"/>
      <c r="AJ41" s="3" t="b">
        <v>1</v>
      </c>
      <c r="AK41" s="34" t="s">
        <v>7</v>
      </c>
      <c r="AL41" s="3"/>
      <c r="AM41" s="1"/>
      <c r="AN41" s="1"/>
    </row>
    <row r="42" spans="1:40" ht="19.5" thickBot="1">
      <c r="A42" s="3"/>
      <c r="B42" s="3"/>
      <c r="C42" s="30"/>
      <c r="D42" s="5"/>
      <c r="E42" s="30"/>
      <c r="F42" s="5"/>
      <c r="G42" s="1"/>
      <c r="H42" s="1"/>
      <c r="I42" s="1"/>
      <c r="J42" s="3"/>
      <c r="K42" s="1"/>
      <c r="L42" s="3"/>
      <c r="M42" s="35"/>
      <c r="N42" s="5"/>
      <c r="O42" s="1"/>
      <c r="P42" s="1"/>
      <c r="Q42" s="3"/>
      <c r="R42" s="1"/>
      <c r="S42" s="1"/>
      <c r="T42" s="3"/>
      <c r="U42" s="30"/>
      <c r="V42" s="1"/>
      <c r="W42" s="3"/>
      <c r="X42" s="1"/>
      <c r="Y42" s="1"/>
      <c r="Z42" s="3"/>
      <c r="AA42" s="1"/>
      <c r="AB42" s="3"/>
      <c r="AC42" s="35"/>
      <c r="AD42" s="5"/>
      <c r="AE42" s="1"/>
      <c r="AF42" s="1"/>
      <c r="AG42" s="1"/>
      <c r="AH42" s="3"/>
      <c r="AI42" s="1"/>
      <c r="AJ42" s="3"/>
      <c r="AK42" s="35"/>
      <c r="AL42" s="3"/>
      <c r="AM42" s="1"/>
      <c r="AN42" s="1"/>
    </row>
    <row r="43" spans="1:40">
      <c r="A43" s="3"/>
      <c r="B43" s="3"/>
      <c r="C43" s="1"/>
      <c r="D43" s="3"/>
      <c r="E43" s="1"/>
      <c r="F43" s="3"/>
      <c r="G43" s="1"/>
      <c r="H43" s="1"/>
      <c r="I43" s="1"/>
      <c r="J43" s="3"/>
      <c r="K43" s="1"/>
      <c r="L43" s="3"/>
      <c r="M43" s="1"/>
      <c r="N43" s="3"/>
      <c r="O43" s="1"/>
      <c r="P43" s="1"/>
      <c r="Q43" s="3"/>
      <c r="R43" s="1"/>
      <c r="S43" s="1"/>
      <c r="T43" s="3"/>
      <c r="U43" s="1"/>
      <c r="V43" s="1"/>
      <c r="W43" s="3"/>
      <c r="X43" s="1"/>
      <c r="Y43" s="1"/>
      <c r="Z43" s="3"/>
      <c r="AA43" s="1"/>
      <c r="AB43" s="3"/>
      <c r="AC43" s="1"/>
      <c r="AD43" s="3"/>
      <c r="AE43" s="1"/>
      <c r="AF43" s="1"/>
      <c r="AG43" s="1"/>
      <c r="AH43" s="3"/>
      <c r="AI43" s="1"/>
      <c r="AJ43" s="3"/>
      <c r="AK43" s="1"/>
      <c r="AL43" s="3"/>
      <c r="AM43" s="1"/>
      <c r="AN43" s="1"/>
    </row>
    <row r="44" spans="1:40" ht="19.5" thickBot="1">
      <c r="A44" s="1"/>
      <c r="B44" s="3"/>
      <c r="C44" s="1"/>
      <c r="D44" s="3"/>
      <c r="E44" s="1"/>
      <c r="F44" s="3"/>
      <c r="G44" s="1"/>
      <c r="H44" s="1"/>
      <c r="I44" s="1"/>
      <c r="J44" s="3"/>
      <c r="K44" s="1"/>
      <c r="L44" s="3"/>
      <c r="M44" s="1"/>
      <c r="N44" s="3"/>
      <c r="O44" s="1"/>
      <c r="P44" s="1"/>
      <c r="Q44" s="3"/>
      <c r="R44" s="1"/>
      <c r="S44" s="1"/>
      <c r="T44" s="3"/>
      <c r="U44" s="1"/>
      <c r="V44" s="1"/>
      <c r="W44" s="3"/>
      <c r="X44" s="1"/>
      <c r="Y44" s="1"/>
      <c r="Z44" s="3"/>
      <c r="AA44" s="1"/>
      <c r="AB44" s="3"/>
      <c r="AC44" s="1"/>
      <c r="AD44" s="3"/>
      <c r="AE44" s="1"/>
      <c r="AF44" s="1"/>
      <c r="AG44" s="1"/>
      <c r="AH44" s="3"/>
      <c r="AI44" s="1"/>
      <c r="AJ44" s="3"/>
      <c r="AK44" s="1"/>
      <c r="AL44" s="3"/>
      <c r="AM44" s="1"/>
      <c r="AN44" s="1"/>
    </row>
    <row r="45" spans="1:40">
      <c r="A45" s="1"/>
      <c r="B45" s="3"/>
      <c r="C45" s="1"/>
      <c r="D45" s="3"/>
      <c r="E45" s="1"/>
      <c r="F45" s="3"/>
      <c r="G45" s="1"/>
      <c r="H45" s="1"/>
      <c r="I45" s="1"/>
      <c r="J45" s="3" t="b">
        <v>1</v>
      </c>
      <c r="K45" s="34" t="s">
        <v>7</v>
      </c>
      <c r="L45" s="5"/>
      <c r="M45" s="1"/>
      <c r="N45" s="3"/>
      <c r="O45" s="1"/>
      <c r="P45" s="1"/>
      <c r="Q45" s="3"/>
      <c r="R45" s="1"/>
      <c r="S45" s="1"/>
      <c r="T45" s="3"/>
      <c r="U45" s="1"/>
      <c r="V45" s="1"/>
      <c r="W45" s="3"/>
      <c r="X45" s="1"/>
      <c r="Y45" s="1"/>
      <c r="Z45" s="3"/>
      <c r="AA45" s="1"/>
      <c r="AB45" s="3"/>
      <c r="AC45" s="1"/>
      <c r="AD45" s="3" t="b">
        <v>1</v>
      </c>
      <c r="AE45" s="34" t="s">
        <v>7</v>
      </c>
      <c r="AF45" s="1"/>
      <c r="AG45" s="1"/>
      <c r="AH45" s="3"/>
      <c r="AI45" s="1"/>
      <c r="AJ45" s="3"/>
      <c r="AK45" s="1"/>
      <c r="AL45" s="3"/>
      <c r="AM45" s="1"/>
      <c r="AN45" s="1"/>
    </row>
    <row r="46" spans="1:40" ht="19.5" thickBot="1">
      <c r="A46" s="1"/>
      <c r="B46" s="3"/>
      <c r="C46" s="1"/>
      <c r="D46" s="3"/>
      <c r="E46" s="1"/>
      <c r="F46" s="3"/>
      <c r="G46" s="1"/>
      <c r="H46" s="1"/>
      <c r="I46" s="1"/>
      <c r="J46" s="3"/>
      <c r="K46" s="35"/>
      <c r="L46" s="5"/>
      <c r="M46" s="1"/>
      <c r="N46" s="3"/>
      <c r="O46" s="1"/>
      <c r="P46" s="1"/>
      <c r="Q46" s="3"/>
      <c r="R46" s="1"/>
      <c r="S46" s="1"/>
      <c r="T46" s="3"/>
      <c r="U46" s="1"/>
      <c r="V46" s="1"/>
      <c r="W46" s="3"/>
      <c r="X46" s="1"/>
      <c r="Y46" s="1"/>
      <c r="Z46" s="3"/>
      <c r="AA46" s="1"/>
      <c r="AB46" s="3"/>
      <c r="AC46" s="1"/>
      <c r="AD46" s="3"/>
      <c r="AE46" s="35"/>
      <c r="AF46" s="1"/>
      <c r="AG46" s="1"/>
      <c r="AH46" s="3"/>
      <c r="AI46" s="1"/>
      <c r="AJ46" s="3"/>
      <c r="AK46" s="1"/>
      <c r="AL46" s="3"/>
      <c r="AM46" s="1"/>
      <c r="AN46" s="1"/>
    </row>
    <row r="47" spans="1:40">
      <c r="A47" s="1"/>
      <c r="B47" s="3"/>
      <c r="C47" s="1"/>
      <c r="D47" s="3"/>
      <c r="E47" s="1"/>
      <c r="F47" s="3"/>
      <c r="G47" s="1"/>
      <c r="H47" s="1"/>
      <c r="I47" s="1"/>
      <c r="J47" s="3"/>
      <c r="K47" s="1"/>
      <c r="L47" s="3"/>
      <c r="M47" s="1"/>
      <c r="N47" s="3"/>
      <c r="O47" s="1"/>
      <c r="P47" s="1"/>
      <c r="Q47" s="3"/>
      <c r="R47" s="1"/>
      <c r="S47" s="1"/>
      <c r="T47" s="3"/>
      <c r="U47" s="1"/>
      <c r="V47" s="1"/>
      <c r="W47" s="3"/>
      <c r="X47" s="1"/>
      <c r="Y47" s="1"/>
      <c r="Z47" s="3"/>
      <c r="AA47" s="1"/>
      <c r="AB47" s="3"/>
      <c r="AC47" s="1"/>
      <c r="AD47" s="3"/>
      <c r="AE47" s="1"/>
      <c r="AF47" s="1"/>
      <c r="AG47" s="1"/>
      <c r="AH47" s="3"/>
      <c r="AI47" s="1"/>
      <c r="AJ47" s="3"/>
      <c r="AK47" s="1"/>
      <c r="AL47" s="3"/>
      <c r="AM47" s="1"/>
      <c r="AN47" s="1"/>
    </row>
    <row r="48" spans="1:40">
      <c r="A48" s="1"/>
      <c r="B48" s="3"/>
      <c r="C48" s="1"/>
      <c r="D48" s="3"/>
      <c r="E48" s="1"/>
      <c r="F48" s="3"/>
      <c r="G48" s="1"/>
      <c r="H48" s="1"/>
      <c r="I48" s="1"/>
      <c r="J48" s="3"/>
      <c r="K48" s="1"/>
      <c r="L48" s="3"/>
      <c r="M48" s="1"/>
      <c r="N48" s="3"/>
      <c r="O48" s="1"/>
      <c r="P48" s="1"/>
      <c r="Q48" s="3"/>
      <c r="R48" s="1"/>
      <c r="S48" s="1"/>
      <c r="T48" s="3"/>
      <c r="U48" s="1"/>
      <c r="V48" s="1"/>
      <c r="W48" s="3"/>
      <c r="X48" s="1"/>
      <c r="Y48" s="1"/>
      <c r="Z48" s="3"/>
      <c r="AA48" s="1"/>
      <c r="AB48" s="3"/>
      <c r="AC48" s="1"/>
      <c r="AD48" s="3"/>
      <c r="AE48" s="1"/>
      <c r="AF48" s="1"/>
      <c r="AG48" s="1"/>
      <c r="AH48" s="3"/>
      <c r="AI48" s="1"/>
      <c r="AJ48" s="3"/>
      <c r="AK48" s="1"/>
      <c r="AL48" s="3"/>
      <c r="AM48" s="1"/>
      <c r="AN48" s="1"/>
    </row>
    <row r="49" spans="1:46">
      <c r="A49" s="18" t="s">
        <v>153</v>
      </c>
      <c r="B49" s="18" t="s">
        <v>148</v>
      </c>
      <c r="C49" s="18" t="s">
        <v>25</v>
      </c>
      <c r="H49" s="4"/>
      <c r="P49" s="4"/>
      <c r="Q49"/>
      <c r="R49" s="4"/>
      <c r="V49" s="4"/>
      <c r="W49"/>
      <c r="X49" s="4"/>
      <c r="AF49" s="4"/>
      <c r="AN49" s="4"/>
      <c r="AP49" s="28"/>
      <c r="AR49" s="4"/>
      <c r="AT49" s="4">
        <v>46</v>
      </c>
    </row>
    <row r="50" spans="1:46">
      <c r="A50" s="18" t="s">
        <v>155</v>
      </c>
      <c r="B50" s="19" t="str">
        <f>IF(B11,A11,"")</f>
        <v/>
      </c>
      <c r="C50" s="20" t="str">
        <f>IF(B11,LEFT(C11,FIND("-",C11)-2),"")</f>
        <v/>
      </c>
      <c r="E50" s="13"/>
      <c r="F50"/>
      <c r="L50"/>
    </row>
    <row r="51" spans="1:46">
      <c r="A51" s="18" t="s">
        <v>155</v>
      </c>
      <c r="B51" s="19" t="str">
        <f t="shared" ref="B51" si="0">IF(B12,A12,"")</f>
        <v/>
      </c>
      <c r="C51" s="20" t="str">
        <f>IF(B12,LEFT(C12,FIND("-",C12)-2),"")</f>
        <v/>
      </c>
      <c r="F51"/>
      <c r="L51"/>
    </row>
    <row r="52" spans="1:46">
      <c r="A52" s="18" t="s">
        <v>154</v>
      </c>
      <c r="B52" s="21" t="str">
        <f>IF(B17,A17,"")</f>
        <v/>
      </c>
      <c r="C52" s="20" t="str">
        <f>IF(B17,LEFT(C17,FIND("-",C17)-2),"")</f>
        <v/>
      </c>
      <c r="F52"/>
      <c r="L52"/>
    </row>
    <row r="53" spans="1:46">
      <c r="A53" s="18" t="s">
        <v>155</v>
      </c>
      <c r="B53" s="19" t="str">
        <f>IF(B26,A26,"")</f>
        <v/>
      </c>
      <c r="C53" s="20" t="str">
        <f>IF(B26,LEFT(C26,FIND("-",C26)-2),"")</f>
        <v/>
      </c>
      <c r="F53"/>
      <c r="L53"/>
      <c r="M53" s="12"/>
    </row>
    <row r="54" spans="1:46">
      <c r="A54" s="18" t="s">
        <v>155</v>
      </c>
      <c r="B54" s="19">
        <f>IF(B35,A35,"")</f>
        <v>0</v>
      </c>
      <c r="C54" s="20" t="str">
        <f>IF(C35 = "?", "Not Discovered", "")</f>
        <v>Not Discovered</v>
      </c>
      <c r="F54"/>
      <c r="L54"/>
      <c r="M54" s="12"/>
      <c r="U54" s="12"/>
    </row>
    <row r="55" spans="1:46">
      <c r="A55" s="18" t="s">
        <v>155</v>
      </c>
      <c r="B55" s="19" t="str">
        <f>IF(B41,A41,"")</f>
        <v/>
      </c>
      <c r="C55" s="20" t="str">
        <f>IF(B41,LEFT(C41,FIND("-",C41)-2),"")</f>
        <v/>
      </c>
      <c r="F55"/>
      <c r="L55"/>
      <c r="M55" s="12"/>
      <c r="U55" s="12"/>
    </row>
    <row r="56" spans="1:46">
      <c r="A56" s="18" t="s">
        <v>155</v>
      </c>
      <c r="B56" s="19" t="str">
        <f>IF(D23,C23,"")</f>
        <v/>
      </c>
      <c r="C56" s="20" t="str">
        <f>IF(D23,LEFT(E23,FIND("-",E23)-2),"")</f>
        <v/>
      </c>
      <c r="F56"/>
      <c r="L56"/>
      <c r="M56" s="12"/>
      <c r="N56" s="13"/>
      <c r="U56" s="12"/>
    </row>
    <row r="57" spans="1:46">
      <c r="A57" s="18" t="s">
        <v>155</v>
      </c>
      <c r="B57" s="19" t="str">
        <f>IF(D38,C38,"")</f>
        <v/>
      </c>
      <c r="C57" s="20" t="str">
        <f>IF(D38,LEFT(E38,FIND("-",E38)-2),"")</f>
        <v/>
      </c>
      <c r="F57"/>
      <c r="L57"/>
      <c r="M57" s="12"/>
      <c r="O57" s="12"/>
      <c r="U57" s="12"/>
      <c r="Z57" s="13"/>
      <c r="AA57" s="12"/>
    </row>
    <row r="58" spans="1:46">
      <c r="A58" s="18" t="s">
        <v>156</v>
      </c>
      <c r="B58" s="19"/>
      <c r="C58" s="20" t="str">
        <f>IF(D41,E41,"")</f>
        <v/>
      </c>
      <c r="F58"/>
      <c r="L58"/>
      <c r="M58" s="12"/>
      <c r="O58" s="12"/>
      <c r="R58" s="12"/>
      <c r="U58" s="12"/>
      <c r="AA58" s="12"/>
    </row>
    <row r="59" spans="1:46">
      <c r="A59" s="18" t="s">
        <v>155</v>
      </c>
      <c r="B59" s="19" t="str">
        <f>IF(F11,E11,"")</f>
        <v/>
      </c>
      <c r="C59" s="20" t="str">
        <f>IF(F11,LEFT(G11,FIND("-",G11)-2),"")</f>
        <v/>
      </c>
      <c r="F59"/>
      <c r="M59" s="12"/>
      <c r="O59" s="12"/>
      <c r="R59" s="12"/>
      <c r="U59" s="12"/>
      <c r="AA59" s="12"/>
    </row>
    <row r="60" spans="1:46">
      <c r="A60" s="18" t="s">
        <v>155</v>
      </c>
      <c r="B60" s="19" t="str">
        <f>IF(F12,E12,"")</f>
        <v/>
      </c>
      <c r="C60" s="20" t="str">
        <f>IF(F12,LEFT(G12,FIND("-",G12)-2),"")</f>
        <v/>
      </c>
      <c r="F60"/>
      <c r="M60" s="12"/>
      <c r="O60" s="12"/>
      <c r="R60" s="12"/>
      <c r="U60" s="12"/>
      <c r="X60" s="12"/>
      <c r="AA60" s="12"/>
    </row>
    <row r="61" spans="1:46">
      <c r="A61" s="18" t="s">
        <v>155</v>
      </c>
      <c r="B61" s="19" t="str">
        <f>IF(F14,E14,"")</f>
        <v/>
      </c>
      <c r="C61" s="20" t="str">
        <f>IF(F14,LEFT(G14,FIND("-",G14)-2),"")</f>
        <v/>
      </c>
      <c r="F61"/>
      <c r="M61" s="12"/>
      <c r="O61" s="12"/>
      <c r="R61" s="12"/>
      <c r="U61" s="12"/>
      <c r="X61" s="12"/>
      <c r="AA61" s="12"/>
    </row>
    <row r="62" spans="1:46">
      <c r="A62" s="18" t="s">
        <v>155</v>
      </c>
      <c r="B62" s="19" t="str">
        <f>IF(F17,E17,"")</f>
        <v/>
      </c>
      <c r="C62" s="20" t="str">
        <f>IF(F17,LEFT(G17,FIND("-",G17)-2),"")</f>
        <v/>
      </c>
      <c r="F62"/>
      <c r="O62" s="12"/>
      <c r="R62" s="12"/>
      <c r="X62" s="12"/>
      <c r="AA62" s="12"/>
    </row>
    <row r="63" spans="1:46">
      <c r="A63" s="18" t="s">
        <v>155</v>
      </c>
      <c r="B63" s="19" t="str">
        <f>IF(F26,E26,"")</f>
        <v/>
      </c>
      <c r="C63" s="20" t="str">
        <f>IF(F26,LEFT(G26,FIND("-",G26)-2),"")</f>
        <v/>
      </c>
      <c r="F63"/>
      <c r="M63" s="12"/>
      <c r="O63" s="12"/>
      <c r="R63" s="12"/>
      <c r="U63" s="12"/>
      <c r="X63" s="12"/>
      <c r="AA63" s="12"/>
    </row>
    <row r="64" spans="1:46">
      <c r="A64" s="18" t="s">
        <v>155</v>
      </c>
      <c r="B64" s="19" t="str">
        <f>IF(F29,E29,"")</f>
        <v/>
      </c>
      <c r="C64" s="20" t="str">
        <f>IF(F29,LEFT(G29,FIND("-",G29)-2),"")</f>
        <v/>
      </c>
      <c r="F64"/>
      <c r="M64" s="12"/>
      <c r="O64" s="12"/>
      <c r="R64" s="12"/>
      <c r="U64" s="12"/>
      <c r="X64" s="12"/>
      <c r="AA64" s="12"/>
    </row>
    <row r="65" spans="1:29">
      <c r="A65" s="18" t="s">
        <v>155</v>
      </c>
      <c r="B65" s="19" t="str">
        <f>IF(F32,E32,"")</f>
        <v/>
      </c>
      <c r="C65" s="20" t="str">
        <f>IF(F32,LEFT(G32,FIND("-",G32)-2),"")</f>
        <v/>
      </c>
      <c r="F65"/>
      <c r="M65" s="12"/>
      <c r="O65" s="12"/>
      <c r="R65" s="12"/>
      <c r="U65" s="12"/>
      <c r="X65" s="12"/>
      <c r="AA65" s="12"/>
    </row>
    <row r="66" spans="1:29">
      <c r="A66" s="18" t="s">
        <v>155</v>
      </c>
      <c r="B66" s="19" t="str">
        <f>IF(F35,E35,"")</f>
        <v/>
      </c>
      <c r="C66" s="20" t="str">
        <f>IF(F35,LEFT(G35,FIND("-",G35)-2),"")</f>
        <v/>
      </c>
      <c r="F66"/>
      <c r="M66" s="12"/>
      <c r="O66" s="12"/>
      <c r="U66" s="12"/>
      <c r="X66" s="12"/>
      <c r="AA66" s="12"/>
    </row>
    <row r="67" spans="1:29">
      <c r="A67" s="18" t="s">
        <v>155</v>
      </c>
      <c r="B67" s="19" t="str">
        <f>IF(J11,I11,"")</f>
        <v/>
      </c>
      <c r="C67" s="20" t="str">
        <f>IF(J11,LEFT(K11,FIND("-",K11)-2),"")</f>
        <v/>
      </c>
      <c r="F67"/>
      <c r="G67" s="12"/>
      <c r="M67" s="12"/>
      <c r="O67" s="12"/>
      <c r="R67" s="12"/>
      <c r="U67" s="12"/>
      <c r="X67" s="12"/>
      <c r="AA67" s="12"/>
    </row>
    <row r="68" spans="1:29">
      <c r="A68" s="18" t="s">
        <v>154</v>
      </c>
      <c r="B68" s="21" t="str">
        <f>IF(J12,I12,"")</f>
        <v/>
      </c>
      <c r="C68" s="20" t="str">
        <f>IF(J12,LEFT(K12,FIND("-",K12)-2),"")</f>
        <v/>
      </c>
      <c r="F68"/>
      <c r="M68" s="12"/>
      <c r="O68" s="12"/>
      <c r="R68" s="12"/>
      <c r="U68" s="12"/>
    </row>
    <row r="69" spans="1:29">
      <c r="A69" s="18" t="s">
        <v>155</v>
      </c>
      <c r="B69" s="19" t="str">
        <f>IF(J14,I14,"")</f>
        <v/>
      </c>
      <c r="C69" s="20" t="str">
        <f>IF(J14,LEFT(K14,FIND("-",K14)-2),"")</f>
        <v/>
      </c>
      <c r="F69"/>
      <c r="G69" s="12"/>
      <c r="M69" s="12"/>
      <c r="O69" s="12"/>
      <c r="U69" s="12"/>
      <c r="X69" s="12"/>
      <c r="AA69" s="12"/>
    </row>
    <row r="70" spans="1:29">
      <c r="A70" s="18" t="s">
        <v>155</v>
      </c>
      <c r="B70" s="19" t="str">
        <f>IF(J17,I16,"")</f>
        <v/>
      </c>
      <c r="C70" s="20" t="str">
        <f>IF(J17,LEFT(K17,FIND("-",K17)-2),"")</f>
        <v/>
      </c>
      <c r="F70"/>
      <c r="G70" s="12"/>
      <c r="M70" s="12"/>
      <c r="O70" s="12"/>
      <c r="R70" s="12"/>
      <c r="U70" s="12"/>
      <c r="X70" s="12"/>
      <c r="AA70" s="12"/>
    </row>
    <row r="71" spans="1:29">
      <c r="A71" s="18" t="s">
        <v>154</v>
      </c>
      <c r="B71" s="21" t="str">
        <f>IF(J26,I26,"")</f>
        <v/>
      </c>
      <c r="C71" s="20" t="str">
        <f>IF(J26,LEFT(K26,FIND("-",K26)-2),"")</f>
        <v/>
      </c>
      <c r="F71"/>
      <c r="G71" s="12"/>
      <c r="M71" s="12"/>
      <c r="O71" s="12"/>
      <c r="R71" s="12"/>
      <c r="U71" s="12"/>
    </row>
    <row r="72" spans="1:29">
      <c r="A72" s="18" t="s">
        <v>155</v>
      </c>
      <c r="B72" s="19">
        <f>IF(J29,I29,"")</f>
        <v>0</v>
      </c>
      <c r="C72" s="20" t="str">
        <f>IF(K29 = "?", "Not Discovered", "")</f>
        <v>Not Discovered</v>
      </c>
      <c r="F72"/>
      <c r="G72" s="12"/>
      <c r="M72" s="12"/>
      <c r="O72" s="12"/>
      <c r="U72" s="12"/>
      <c r="X72" s="12"/>
      <c r="AA72" s="12"/>
    </row>
    <row r="73" spans="1:29">
      <c r="A73" s="18" t="s">
        <v>155</v>
      </c>
      <c r="B73" s="19">
        <f>IF(J32,I32,"")</f>
        <v>0</v>
      </c>
      <c r="C73" s="20" t="str">
        <f>IF(K32 = "?", "Not Discovered", "")</f>
        <v>Not Discovered</v>
      </c>
      <c r="F73"/>
      <c r="G73" s="12"/>
      <c r="M73" s="12"/>
      <c r="O73" s="12"/>
      <c r="R73" s="12"/>
      <c r="U73" s="12"/>
      <c r="X73" s="12"/>
      <c r="AA73" s="12"/>
    </row>
    <row r="74" spans="1:29">
      <c r="A74" s="18" t="s">
        <v>155</v>
      </c>
      <c r="B74" s="19" t="str">
        <f>IF(J35,I35,"")</f>
        <v/>
      </c>
      <c r="C74" s="20" t="str">
        <f>IF(J35,LEFT(K35,FIND("-",K35)-2),"")</f>
        <v/>
      </c>
      <c r="F74"/>
      <c r="M74" s="12"/>
      <c r="R74" s="12"/>
      <c r="U74" s="12"/>
    </row>
    <row r="75" spans="1:29">
      <c r="A75" s="18" t="s">
        <v>155</v>
      </c>
      <c r="B75" s="19">
        <f>IF(J45,I45,"")</f>
        <v>0</v>
      </c>
      <c r="C75" s="20" t="str">
        <f>IF(K45 = "?", "Not Discovered", "")</f>
        <v>Not Discovered</v>
      </c>
      <c r="F75"/>
      <c r="G75" s="12"/>
      <c r="O75" s="12"/>
      <c r="U75" s="12"/>
      <c r="X75" s="12"/>
      <c r="AA75" s="12"/>
    </row>
    <row r="76" spans="1:29">
      <c r="A76" s="18" t="s">
        <v>155</v>
      </c>
      <c r="B76" s="19" t="str">
        <f>IF(L23,K23,"")</f>
        <v/>
      </c>
      <c r="C76" s="20" t="str">
        <f>IF(L23,LEFT(M23,FIND("-",M23)-2),"")</f>
        <v/>
      </c>
      <c r="F76"/>
      <c r="O76" s="12"/>
      <c r="U76" s="12"/>
      <c r="X76" s="12"/>
      <c r="AA76" s="12"/>
      <c r="AC76" s="12"/>
    </row>
    <row r="77" spans="1:29">
      <c r="A77" s="18" t="s">
        <v>155</v>
      </c>
      <c r="B77" s="19">
        <f>IF(L38,K38,"")</f>
        <v>0</v>
      </c>
      <c r="C77" s="20" t="str">
        <f>IF(M38= "?", "Not Discovered", "")</f>
        <v>Not Discovered</v>
      </c>
      <c r="F77"/>
      <c r="O77" s="12"/>
      <c r="AC77" s="12"/>
    </row>
    <row r="78" spans="1:29">
      <c r="A78" s="18" t="s">
        <v>155</v>
      </c>
      <c r="B78" s="19">
        <f>IF(L41,K41,"")</f>
        <v>0</v>
      </c>
      <c r="C78" s="20" t="str">
        <f>IF(M41= "?", "Not Discovered", "")</f>
        <v>Not Discovered</v>
      </c>
      <c r="F78"/>
      <c r="O78" s="12"/>
      <c r="U78" s="12"/>
      <c r="X78" s="12"/>
      <c r="AA78" s="12"/>
      <c r="AC78" s="12"/>
    </row>
    <row r="79" spans="1:29">
      <c r="A79" s="18" t="s">
        <v>154</v>
      </c>
      <c r="B79" s="21" t="str">
        <f>IF(N11,M11,"")</f>
        <v/>
      </c>
      <c r="C79" s="20" t="str">
        <f>IF(N11,LEFT(O11,FIND("-",O11)-2),"")</f>
        <v/>
      </c>
      <c r="F79"/>
      <c r="O79" s="12"/>
      <c r="U79" s="12"/>
      <c r="X79" s="12"/>
      <c r="AA79" s="12"/>
      <c r="AC79" s="12"/>
    </row>
    <row r="80" spans="1:29">
      <c r="A80" s="18" t="s">
        <v>155</v>
      </c>
      <c r="B80" s="19" t="str">
        <f>IF(N14,M14,"")</f>
        <v/>
      </c>
      <c r="C80" s="20" t="str">
        <f>IF(N14,LEFT(O14,FIND("-",O14)-2),"")</f>
        <v/>
      </c>
      <c r="F80"/>
      <c r="O80" s="12"/>
      <c r="X80" s="12"/>
      <c r="AA80" s="12"/>
      <c r="AC80" s="12"/>
    </row>
    <row r="81" spans="1:29">
      <c r="A81" s="18" t="s">
        <v>155</v>
      </c>
      <c r="B81" s="19" t="str">
        <f>IF(N17,M17,"")</f>
        <v/>
      </c>
      <c r="C81" s="20" t="str">
        <f>IF(N17,LEFT(O17,FIND("-",O17)-2),"")</f>
        <v/>
      </c>
      <c r="F81"/>
      <c r="X81" s="12"/>
      <c r="AA81" s="12"/>
      <c r="AC81" s="12"/>
    </row>
    <row r="82" spans="1:29">
      <c r="A82" s="18" t="s">
        <v>155</v>
      </c>
      <c r="B82" s="19">
        <f>IF(N26,M26,"")</f>
        <v>0</v>
      </c>
      <c r="C82" s="20" t="str">
        <f>IF(O26= "?", "Not Discovered", "")</f>
        <v>Not Discovered</v>
      </c>
      <c r="F82"/>
      <c r="X82" s="12"/>
      <c r="AA82" s="12"/>
      <c r="AC82" s="12"/>
    </row>
    <row r="83" spans="1:29">
      <c r="A83" s="18" t="s">
        <v>155</v>
      </c>
      <c r="B83" s="19">
        <f>IF(N29,M29,"")</f>
        <v>0</v>
      </c>
      <c r="C83" s="20" t="str">
        <f>IF(O29= "?", "Not Discovered", "")</f>
        <v>Not Discovered</v>
      </c>
      <c r="F83"/>
      <c r="AA83" s="12"/>
      <c r="AC83" s="12"/>
    </row>
    <row r="84" spans="1:29">
      <c r="A84" s="18" t="s">
        <v>155</v>
      </c>
      <c r="B84" s="19" t="str">
        <f>IF(N35,M35,"")</f>
        <v/>
      </c>
      <c r="C84" s="20" t="str">
        <f>IF(N35,LEFT(O35,FIND("-",O35)-2),"")</f>
        <v/>
      </c>
      <c r="F84"/>
      <c r="AA84" s="12"/>
      <c r="AC84" s="12"/>
    </row>
    <row r="85" spans="1:29">
      <c r="A85" s="18" t="s">
        <v>155</v>
      </c>
      <c r="B85" s="22" t="str">
        <f>IF(Q11,P11,"")</f>
        <v/>
      </c>
      <c r="C85" s="20" t="str">
        <f>IF(Q11,LEFT(R11,FIND("-",R11)-2),"")</f>
        <v/>
      </c>
      <c r="F85"/>
      <c r="AA85" s="12"/>
    </row>
    <row r="86" spans="1:29">
      <c r="A86" s="18" t="s">
        <v>155</v>
      </c>
      <c r="B86" s="19" t="str">
        <f>IF(Q14,P14,"")</f>
        <v/>
      </c>
      <c r="C86" s="20" t="str">
        <f>IF(Q14,LEFT(R14,FIND("-",R14)-2),"")</f>
        <v/>
      </c>
      <c r="F86"/>
      <c r="AA86" s="12"/>
    </row>
    <row r="87" spans="1:29">
      <c r="A87" s="18" t="s">
        <v>155</v>
      </c>
      <c r="B87" s="19" t="str">
        <f>IF(Q15,P15,"")</f>
        <v/>
      </c>
      <c r="C87" s="20" t="str">
        <f>IF(Q15,LEFT(R15,FIND("-",R15)-2),"")</f>
        <v/>
      </c>
      <c r="F87"/>
      <c r="AA87" s="12"/>
    </row>
    <row r="88" spans="1:29">
      <c r="A88" s="18" t="s">
        <v>155</v>
      </c>
      <c r="B88" s="19" t="str">
        <f>IF(Q17,P17,"")</f>
        <v/>
      </c>
      <c r="C88" s="20" t="str">
        <f>IF(Q17,LEFT(R17,FIND("-",R17)-2),"")</f>
        <v/>
      </c>
      <c r="F88"/>
      <c r="AA88" s="12"/>
    </row>
    <row r="89" spans="1:29">
      <c r="A89" s="18" t="s">
        <v>155</v>
      </c>
      <c r="B89" s="19" t="str">
        <f>IF(Q26,P26,"")</f>
        <v/>
      </c>
      <c r="C89" s="20" t="str">
        <f>IF(Q26,LEFT(R26,FIND("-",R26)-2),"")</f>
        <v/>
      </c>
      <c r="F89"/>
    </row>
    <row r="90" spans="1:29">
      <c r="A90" s="18" t="s">
        <v>155</v>
      </c>
      <c r="B90" s="19" t="str">
        <f>IF(Q29,P29,"")</f>
        <v/>
      </c>
      <c r="C90" s="20" t="str">
        <f>IF(Q29,LEFT(R29,FIND("-",R29)-2),"")</f>
        <v/>
      </c>
      <c r="F90"/>
    </row>
    <row r="91" spans="1:29">
      <c r="A91" s="18" t="s">
        <v>155</v>
      </c>
      <c r="B91" s="19" t="str">
        <f>IF(Q32,P32,"")</f>
        <v/>
      </c>
      <c r="C91" s="20" t="str">
        <f>IF(Q32,LEFT(R32,FIND("-",R32)-2),"")</f>
        <v/>
      </c>
      <c r="F91"/>
    </row>
    <row r="92" spans="1:29">
      <c r="A92" s="18" t="s">
        <v>155</v>
      </c>
      <c r="B92" s="19" t="str">
        <f>IF(Q35,P35,"")</f>
        <v/>
      </c>
      <c r="C92" s="20" t="str">
        <f>IF(Q35,LEFT(R35,FIND("-",R35)-2),"")</f>
        <v/>
      </c>
      <c r="F92"/>
    </row>
    <row r="93" spans="1:29">
      <c r="A93" s="18" t="s">
        <v>154</v>
      </c>
      <c r="B93" s="23" t="str">
        <f>IF(T8,S8,"")</f>
        <v/>
      </c>
      <c r="C93" s="20" t="str">
        <f>IF(T8,LEFT(U8,FIND("-",U8)-2),"")</f>
        <v/>
      </c>
      <c r="F93"/>
    </row>
    <row r="94" spans="1:29">
      <c r="A94" s="18" t="s">
        <v>154</v>
      </c>
      <c r="B94" s="21" t="str">
        <f>IF(T23,S23,"")</f>
        <v/>
      </c>
      <c r="C94" s="20" t="str">
        <f>IF(T23,LEFT(U23,FIND("-",U23)-2),"")</f>
        <v/>
      </c>
    </row>
    <row r="95" spans="1:29">
      <c r="A95" s="18" t="s">
        <v>155</v>
      </c>
      <c r="B95" s="19" t="str">
        <f>IF(T38,S38,"")</f>
        <v/>
      </c>
      <c r="C95" s="20" t="str">
        <f>IF(T38,LEFT(U38,FIND("-",U38)-2),"")</f>
        <v/>
      </c>
    </row>
    <row r="96" spans="1:29">
      <c r="A96" s="18" t="s">
        <v>155</v>
      </c>
      <c r="B96" s="19" t="str">
        <f>IF(T41,S41,"")</f>
        <v/>
      </c>
      <c r="C96" s="20" t="str">
        <f>IF(T41,LEFT(U41,FIND("-",U41)-2),"")</f>
        <v/>
      </c>
    </row>
    <row r="97" spans="1:3">
      <c r="A97" s="18" t="s">
        <v>155</v>
      </c>
      <c r="B97" s="22" t="str">
        <f>IF(W8,V8,"")</f>
        <v/>
      </c>
      <c r="C97" s="20" t="str">
        <f>IF(W8,LEFT(X8,FIND("-",X8)-2),"")</f>
        <v/>
      </c>
    </row>
    <row r="98" spans="1:3">
      <c r="A98" s="18" t="s">
        <v>155</v>
      </c>
      <c r="B98" s="22" t="str">
        <f>IF(W11,V11,"")</f>
        <v/>
      </c>
      <c r="C98" s="20" t="str">
        <f>IF(W11,LEFT(X11,FIND("-",X11)-2),"")</f>
        <v/>
      </c>
    </row>
    <row r="99" spans="1:3">
      <c r="A99" s="18" t="s">
        <v>155</v>
      </c>
      <c r="B99" s="22" t="str">
        <f>IF(W12,V12,"")</f>
        <v/>
      </c>
      <c r="C99" s="20" t="str">
        <f>IF(W12,LEFT(X12,FIND("-",X12)-2),"")</f>
        <v/>
      </c>
    </row>
    <row r="100" spans="1:3">
      <c r="A100" s="18" t="s">
        <v>155</v>
      </c>
      <c r="B100" s="22" t="str">
        <f>IF(W14,V14,"")</f>
        <v/>
      </c>
      <c r="C100" s="20" t="str">
        <f>IF(W14,LEFT(X14,FIND("-",X14)-2),"")</f>
        <v/>
      </c>
    </row>
    <row r="101" spans="1:3">
      <c r="A101" s="18" t="s">
        <v>156</v>
      </c>
      <c r="B101" s="22"/>
      <c r="C101" s="20" t="str">
        <f>IF(W17,X17,"")</f>
        <v/>
      </c>
    </row>
    <row r="102" spans="1:3">
      <c r="A102" s="18" t="s">
        <v>154</v>
      </c>
      <c r="B102" s="23" t="str">
        <f>IF(W26,V26,"")</f>
        <v/>
      </c>
      <c r="C102" s="20" t="str">
        <f>IF(W26,LEFT(X26,FIND("-",X26)-2),"")</f>
        <v/>
      </c>
    </row>
    <row r="103" spans="1:3">
      <c r="A103" s="18" t="s">
        <v>155</v>
      </c>
      <c r="B103" s="22" t="str">
        <f>IF(W29,V29,"")</f>
        <v/>
      </c>
      <c r="C103" s="20" t="str">
        <f>IF(W29,LEFT(X29,FIND("-",X29)-2),"")</f>
        <v/>
      </c>
    </row>
    <row r="104" spans="1:3">
      <c r="A104" s="18" t="s">
        <v>155</v>
      </c>
      <c r="B104" s="22" t="str">
        <f>IF(W32,V32,"")</f>
        <v/>
      </c>
      <c r="C104" s="20" t="str">
        <f>IF(W32,LEFT(X32,FIND("-",X32)-2),"")</f>
        <v/>
      </c>
    </row>
    <row r="105" spans="1:3">
      <c r="A105" s="18" t="s">
        <v>155</v>
      </c>
      <c r="B105" s="22" t="str">
        <f>IF(W35,V35,"")</f>
        <v/>
      </c>
      <c r="C105" s="20" t="str">
        <f>IF(W35,LEFT(X35,FIND("-",X35)-2),"")</f>
        <v/>
      </c>
    </row>
    <row r="106" spans="1:3">
      <c r="A106" s="18" t="s">
        <v>155</v>
      </c>
      <c r="B106" s="22" t="str">
        <f>IF(Z11,Y11,"")</f>
        <v/>
      </c>
      <c r="C106" s="20" t="str">
        <f>IF(Z11,LEFT(AA11,FIND("-",AA11)-2),"")</f>
        <v/>
      </c>
    </row>
    <row r="107" spans="1:3">
      <c r="A107" s="18" t="s">
        <v>155</v>
      </c>
      <c r="B107" s="19" t="str">
        <f>IF(Z14,Y14,"")</f>
        <v/>
      </c>
      <c r="C107" s="20" t="str">
        <f>IF(Z14,LEFT(AA14,FIND("-",AA14)-2),"")</f>
        <v/>
      </c>
    </row>
    <row r="108" spans="1:3">
      <c r="A108" s="18" t="s">
        <v>155</v>
      </c>
      <c r="B108" s="19">
        <f>IF(Z17,Y17,"")</f>
        <v>0</v>
      </c>
      <c r="C108" s="20" t="str">
        <f>IF(AA17= "?", "Not Discovered", "")</f>
        <v>Not Discovered</v>
      </c>
    </row>
    <row r="109" spans="1:3">
      <c r="A109" s="18" t="s">
        <v>156</v>
      </c>
      <c r="B109" s="19"/>
      <c r="C109" s="20" t="str">
        <f>IF(Z26,AA26,"")</f>
        <v/>
      </c>
    </row>
    <row r="110" spans="1:3">
      <c r="A110" s="18" t="s">
        <v>155</v>
      </c>
      <c r="B110" s="19" t="str">
        <f>IF(Z29,Y29,"")</f>
        <v/>
      </c>
      <c r="C110" s="20" t="str">
        <f>IF(Z29,LEFT(AA29,FIND("-",AA29)-2),"")</f>
        <v/>
      </c>
    </row>
    <row r="111" spans="1:3">
      <c r="A111" s="18" t="s">
        <v>155</v>
      </c>
      <c r="B111" s="19" t="str">
        <f>IF(Z32,Y32,"")</f>
        <v/>
      </c>
      <c r="C111" s="20" t="str">
        <f>IF(Z32,LEFT(AA32,FIND("-",AA32)-2),"")</f>
        <v/>
      </c>
    </row>
    <row r="112" spans="1:3">
      <c r="A112" s="18" t="s">
        <v>155</v>
      </c>
      <c r="B112" s="19" t="str">
        <f>IF(Z35,Y35,"")</f>
        <v/>
      </c>
      <c r="C112" s="20" t="str">
        <f>IF(Z35,LEFT(AA35,FIND("-",AA35)-2),"")</f>
        <v/>
      </c>
    </row>
    <row r="113" spans="1:3">
      <c r="A113" s="18" t="s">
        <v>155</v>
      </c>
      <c r="B113" s="22" t="str">
        <f>IF(AB23,AA23,"")</f>
        <v/>
      </c>
      <c r="C113" s="20" t="str">
        <f>IF(AB23,LEFT(AC23,FIND("-",AC23)-2),"")</f>
        <v/>
      </c>
    </row>
    <row r="114" spans="1:3">
      <c r="A114" s="18" t="s">
        <v>155</v>
      </c>
      <c r="B114" s="18"/>
      <c r="C114" s="20" t="str">
        <f>IF(AC38= "?", "Not Discovered", "")</f>
        <v>Not Discovered</v>
      </c>
    </row>
    <row r="115" spans="1:3">
      <c r="A115" s="18" t="s">
        <v>155</v>
      </c>
      <c r="B115" s="18"/>
      <c r="C115" s="20" t="str">
        <f>IF(AC41= "?", "Not Discovered", "")</f>
        <v>Not Discovered</v>
      </c>
    </row>
    <row r="116" spans="1:3">
      <c r="A116" s="18" t="s">
        <v>155</v>
      </c>
      <c r="B116" s="22" t="str">
        <f>IF(AD11,AC11,"")</f>
        <v/>
      </c>
      <c r="C116" s="20" t="str">
        <f>IF(AD11,LEFT(AE11,FIND("-",AE11)-2),"")</f>
        <v/>
      </c>
    </row>
    <row r="117" spans="1:3">
      <c r="A117" s="18" t="s">
        <v>155</v>
      </c>
      <c r="B117" s="19" t="str">
        <f>IF(AD12,AC12,"")</f>
        <v/>
      </c>
      <c r="C117" s="20" t="str">
        <f>IF(AD12,LEFT(AE12,FIND("-",AE12)-2),"")</f>
        <v/>
      </c>
    </row>
    <row r="118" spans="1:3">
      <c r="A118" s="18" t="s">
        <v>155</v>
      </c>
      <c r="B118" s="19" t="str">
        <f>IF(AD14,AC14,"")</f>
        <v/>
      </c>
      <c r="C118" s="20" t="str">
        <f>IF(AD14,LEFT(AE14,FIND("-",AE14)-2),"")</f>
        <v/>
      </c>
    </row>
    <row r="119" spans="1:3">
      <c r="A119" s="18" t="s">
        <v>155</v>
      </c>
      <c r="B119" s="19" t="str">
        <f>IF(AD17,AC17,"")</f>
        <v/>
      </c>
      <c r="C119" s="20" t="str">
        <f>IF(AD17,LEFT(AE17,FIND("-",AE17)-2),"")</f>
        <v/>
      </c>
    </row>
    <row r="120" spans="1:3">
      <c r="A120" s="18" t="s">
        <v>155</v>
      </c>
      <c r="B120" s="19" t="str">
        <f>IF(AD26,AC26,"")</f>
        <v/>
      </c>
      <c r="C120" s="20" t="str">
        <f>IF(AD26,AE26,"")</f>
        <v/>
      </c>
    </row>
    <row r="121" spans="1:3">
      <c r="A121" s="18" t="s">
        <v>155</v>
      </c>
      <c r="B121" s="19" t="str">
        <f>IF(AD32,AC32,"")</f>
        <v/>
      </c>
      <c r="C121" s="20" t="str">
        <f>IF(AD32,LEFT(AE32,FIND("-",AE32)-2),"")</f>
        <v/>
      </c>
    </row>
    <row r="122" spans="1:3">
      <c r="A122" s="18" t="s">
        <v>155</v>
      </c>
      <c r="B122" s="19" t="str">
        <f>IF(AD35,AC35,"")</f>
        <v/>
      </c>
      <c r="C122" s="20" t="str">
        <f>IF(AD35,LEFT(AE35,FIND("-",AE35)-2),"")</f>
        <v/>
      </c>
    </row>
    <row r="123" spans="1:3">
      <c r="A123" s="18" t="s">
        <v>155</v>
      </c>
      <c r="B123" s="19">
        <f>IF(AD45,AC45,"")</f>
        <v>0</v>
      </c>
      <c r="C123" s="20" t="str">
        <f>IF(AE45= "?", "Not Discovered", "")</f>
        <v>Not Discovered</v>
      </c>
    </row>
    <row r="124" spans="1:3">
      <c r="A124" s="18" t="s">
        <v>155</v>
      </c>
      <c r="B124" s="22" t="str">
        <f>IF(AH11,AG11,"")</f>
        <v/>
      </c>
      <c r="C124" s="20" t="str">
        <f>IF(AH11,LEFT(AI11,FIND("-",AI11)-2),"")</f>
        <v/>
      </c>
    </row>
    <row r="125" spans="1:3">
      <c r="A125" s="18" t="s">
        <v>155</v>
      </c>
      <c r="B125" s="22">
        <f>IF(AH17,AG16,"")</f>
        <v>0</v>
      </c>
      <c r="C125" s="20" t="str">
        <f>IF(AI17= "?", "Not Discovered", "")</f>
        <v>Not Discovered</v>
      </c>
    </row>
    <row r="126" spans="1:3">
      <c r="A126" s="18" t="s">
        <v>155</v>
      </c>
      <c r="B126" s="22" t="str">
        <f>IF(AH26,AG26,"")</f>
        <v/>
      </c>
      <c r="C126" s="20" t="str">
        <f>IF(AH26,AI26,"")</f>
        <v/>
      </c>
    </row>
    <row r="127" spans="1:3">
      <c r="A127" s="18" t="s">
        <v>155</v>
      </c>
      <c r="B127" s="22" t="str">
        <f>IF(AH32,AG32,"")</f>
        <v/>
      </c>
      <c r="C127" s="20" t="str">
        <f>IF(AH32,LEFT(AI32,FIND("-",AI32)-2),"")</f>
        <v/>
      </c>
    </row>
    <row r="128" spans="1:3">
      <c r="A128" s="18" t="s">
        <v>155</v>
      </c>
      <c r="B128" s="22">
        <f>IF(AH35,AG35,"")</f>
        <v>0</v>
      </c>
      <c r="C128" s="20" t="str">
        <f>IF(AI35= "?", "Not Discovered", "")</f>
        <v>Not Discovered</v>
      </c>
    </row>
    <row r="129" spans="1:3">
      <c r="A129" s="18" t="s">
        <v>155</v>
      </c>
      <c r="B129" s="22" t="str">
        <f>IF(AJ23,AI23,"")</f>
        <v/>
      </c>
      <c r="C129" s="20" t="str">
        <f>IF(AJ23,LEFT(AK23,FIND("-",AK23)-2),"")</f>
        <v/>
      </c>
    </row>
    <row r="130" spans="1:3">
      <c r="A130" s="18" t="s">
        <v>155</v>
      </c>
      <c r="B130" s="22" t="str">
        <f>IF(AJ38,AI38,"")</f>
        <v/>
      </c>
      <c r="C130" s="20" t="str">
        <f>IF(AJ38,LEFT(AK38,FIND("-",AK38)-2),"")</f>
        <v/>
      </c>
    </row>
    <row r="131" spans="1:3">
      <c r="A131" s="18" t="s">
        <v>155</v>
      </c>
      <c r="B131" s="22">
        <f>IF(AJ41,AI41,"")</f>
        <v>0</v>
      </c>
      <c r="C131" s="20" t="str">
        <f>IF(AK41= "?", "Not Discovered", "")</f>
        <v>Not Discovered</v>
      </c>
    </row>
    <row r="132" spans="1:3">
      <c r="A132" s="18" t="s">
        <v>155</v>
      </c>
      <c r="B132" s="22" t="str">
        <f>IF(AL11,AK11,"")</f>
        <v/>
      </c>
      <c r="C132" s="20" t="str">
        <f>IF(AL11,LEFT(AM11,FIND("-",AM11)-2),"")</f>
        <v/>
      </c>
    </row>
    <row r="133" spans="1:3">
      <c r="A133" s="18" t="s">
        <v>155</v>
      </c>
      <c r="B133" s="19">
        <f>IF(AL14,AK14,"")</f>
        <v>0</v>
      </c>
      <c r="C133" s="20" t="str">
        <f>IF(AM14= "?", "Not Discovered", "")</f>
        <v>Not Discovered</v>
      </c>
    </row>
    <row r="134" spans="1:3">
      <c r="A134" s="18" t="s">
        <v>155</v>
      </c>
      <c r="B134" s="19">
        <f>IF(AL17,AK17,"")</f>
        <v>0</v>
      </c>
      <c r="C134" s="20" t="str">
        <f>IF(AM17= "?", "Not Discovered", "")</f>
        <v>Not Discovered</v>
      </c>
    </row>
    <row r="135" spans="1:3">
      <c r="A135" s="18" t="s">
        <v>156</v>
      </c>
      <c r="B135" s="19"/>
      <c r="C135" s="20" t="str">
        <f>IF(AL26,AM26,"")</f>
        <v/>
      </c>
    </row>
    <row r="136" spans="1:3">
      <c r="A136" s="18" t="s">
        <v>155</v>
      </c>
      <c r="B136" s="19" t="str">
        <f>IF(AL29,AK29,"")</f>
        <v/>
      </c>
      <c r="C136" s="20" t="str">
        <f>IF(AL29,LEFT(AM29,FIND("-",AM29)-2),"")</f>
        <v/>
      </c>
    </row>
    <row r="137" spans="1:3">
      <c r="A137" s="18" t="s">
        <v>155</v>
      </c>
      <c r="B137" s="19">
        <f>IF(AL32,AK32,"")</f>
        <v>0</v>
      </c>
      <c r="C137" s="20" t="str">
        <f>IF(AM32= "?", "Not Discovered", "")</f>
        <v>Not Discovered</v>
      </c>
    </row>
    <row r="138" spans="1:3">
      <c r="A138" s="18" t="s">
        <v>155</v>
      </c>
      <c r="B138" s="19">
        <f>IF(AL35,AK35,"")</f>
        <v>0</v>
      </c>
      <c r="C138" s="20" t="str">
        <f>IF(AM35= "?", "Not Discovered", "")</f>
        <v>Not Discovered</v>
      </c>
    </row>
    <row r="139" spans="1:3">
      <c r="A139" s="18"/>
      <c r="B139" s="18"/>
      <c r="C139" s="18"/>
    </row>
    <row r="140" spans="1:3">
      <c r="A140" s="18"/>
      <c r="B140" s="18"/>
      <c r="C140" s="18"/>
    </row>
    <row r="141" spans="1:3">
      <c r="A141" s="18"/>
      <c r="B141" s="18"/>
      <c r="C141" s="18"/>
    </row>
    <row r="142" spans="1:3">
      <c r="A142" s="18"/>
      <c r="B142" s="18"/>
      <c r="C142" s="18"/>
    </row>
    <row r="143" spans="1:3">
      <c r="A143" s="43"/>
      <c r="B143" s="43"/>
      <c r="C143" s="43"/>
    </row>
    <row r="144" spans="1:3">
      <c r="A144" s="43"/>
      <c r="B144" s="43"/>
      <c r="C144" s="43"/>
    </row>
    <row r="145" spans="1:3">
      <c r="A145" s="43"/>
      <c r="B145" s="43"/>
      <c r="C145" s="43"/>
    </row>
    <row r="146" spans="1:3">
      <c r="A146" s="43"/>
      <c r="B146" s="43"/>
      <c r="C146" s="43"/>
    </row>
  </sheetData>
  <dataConsolidate>
    <dataRefs count="1">
      <dataRef ref="B49:C163" sheet="Staff"/>
    </dataRefs>
  </dataConsolidate>
  <mergeCells count="23">
    <mergeCell ref="AE2:AI3"/>
    <mergeCell ref="G32:G33"/>
    <mergeCell ref="C35:C36"/>
    <mergeCell ref="G2:K3"/>
    <mergeCell ref="AA17:AA18"/>
    <mergeCell ref="R2:X3"/>
    <mergeCell ref="AI35:AI36"/>
    <mergeCell ref="AC38:AC39"/>
    <mergeCell ref="M38:M39"/>
    <mergeCell ref="K29:K30"/>
    <mergeCell ref="K32:K33"/>
    <mergeCell ref="O26:O27"/>
    <mergeCell ref="O29:O30"/>
    <mergeCell ref="AM32:AM33"/>
    <mergeCell ref="AM35:AM36"/>
    <mergeCell ref="AI17:AI18"/>
    <mergeCell ref="AM14:AM15"/>
    <mergeCell ref="AM17:AM18"/>
    <mergeCell ref="AK41:AK42"/>
    <mergeCell ref="AC41:AC42"/>
    <mergeCell ref="M41:M42"/>
    <mergeCell ref="K45:K46"/>
    <mergeCell ref="AE45:AE46"/>
  </mergeCells>
  <conditionalFormatting sqref="C11:C42">
    <cfRule type="expression" dxfId="15" priority="20">
      <formula>B11=TRUE</formula>
    </cfRule>
  </conditionalFormatting>
  <conditionalFormatting sqref="E23:E42">
    <cfRule type="expression" dxfId="14" priority="17">
      <formula>D23=TRUE</formula>
    </cfRule>
  </conditionalFormatting>
  <conditionalFormatting sqref="G11:G36">
    <cfRule type="expression" dxfId="13" priority="16">
      <formula>F11=TRUE</formula>
    </cfRule>
  </conditionalFormatting>
  <conditionalFormatting sqref="K11:K46">
    <cfRule type="expression" dxfId="12" priority="15">
      <formula>J11=TRUE</formula>
    </cfRule>
  </conditionalFormatting>
  <conditionalFormatting sqref="M23:M42">
    <cfRule type="expression" dxfId="11" priority="14">
      <formula>L23=TRUE</formula>
    </cfRule>
  </conditionalFormatting>
  <conditionalFormatting sqref="O11:O36">
    <cfRule type="expression" dxfId="10" priority="13">
      <formula>N11=TRUE</formula>
    </cfRule>
  </conditionalFormatting>
  <conditionalFormatting sqref="R8:R36">
    <cfRule type="expression" dxfId="9" priority="3">
      <formula>Q8=TRUE</formula>
    </cfRule>
  </conditionalFormatting>
  <conditionalFormatting sqref="U8:U42">
    <cfRule type="expression" dxfId="8" priority="11">
      <formula>T8=TRUE</formula>
    </cfRule>
  </conditionalFormatting>
  <conditionalFormatting sqref="AA11:AA36">
    <cfRule type="expression" dxfId="7" priority="9">
      <formula>Z11=TRUE</formula>
    </cfRule>
  </conditionalFormatting>
  <conditionalFormatting sqref="AC23:AC42">
    <cfRule type="expression" dxfId="6" priority="8">
      <formula>AB23=TRUE</formula>
    </cfRule>
  </conditionalFormatting>
  <conditionalFormatting sqref="AE11:AE46">
    <cfRule type="expression" dxfId="5" priority="7">
      <formula>AD11=TRUE</formula>
    </cfRule>
  </conditionalFormatting>
  <conditionalFormatting sqref="AI11:AI36">
    <cfRule type="expression" dxfId="4" priority="6">
      <formula>AH11=TRUE</formula>
    </cfRule>
  </conditionalFormatting>
  <conditionalFormatting sqref="AK23:AK42">
    <cfRule type="expression" dxfId="3" priority="5">
      <formula>AJ23=TRUE</formula>
    </cfRule>
  </conditionalFormatting>
  <conditionalFormatting sqref="AM11:AM36">
    <cfRule type="expression" dxfId="2" priority="4">
      <formula>AL11=TRUE</formula>
    </cfRule>
  </conditionalFormatting>
  <conditionalFormatting sqref="X8:X36">
    <cfRule type="expression" dxfId="1" priority="1">
      <formula>W8=TRUE</formula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Check Box 1">
              <controlPr defaultSize="0" autoFill="0" autoLine="0" autoPict="0" macro="[0]!CheckBox1_Click">
                <anchor moveWithCells="1">
                  <from>
                    <xdr:col>2</xdr:col>
                    <xdr:colOff>1762125</xdr:colOff>
                    <xdr:row>9</xdr:row>
                    <xdr:rowOff>180975</xdr:rowOff>
                  </from>
                  <to>
                    <xdr:col>3</xdr:col>
                    <xdr:colOff>485775</xdr:colOff>
                    <xdr:row>11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Check Box 2">
              <controlPr defaultSize="0" autoFill="0" autoLine="0" autoPict="0" macro="[0]!CheckBox2_Click">
                <anchor moveWithCells="1">
                  <from>
                    <xdr:col>2</xdr:col>
                    <xdr:colOff>1762125</xdr:colOff>
                    <xdr:row>10</xdr:row>
                    <xdr:rowOff>180975</xdr:rowOff>
                  </from>
                  <to>
                    <xdr:col>3</xdr:col>
                    <xdr:colOff>485775</xdr:colOff>
                    <xdr:row>11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Check Box 4">
              <controlPr defaultSize="0" autoFill="0" autoLine="0" autoPict="0" macro="[0]!CheckBox4_Click">
                <anchor moveWithCells="1">
                  <from>
                    <xdr:col>6</xdr:col>
                    <xdr:colOff>1581150</xdr:colOff>
                    <xdr:row>9</xdr:row>
                    <xdr:rowOff>180975</xdr:rowOff>
                  </from>
                  <to>
                    <xdr:col>7</xdr:col>
                    <xdr:colOff>485775</xdr:colOff>
                    <xdr:row>11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Check Box 5">
              <controlPr defaultSize="0" autoFill="0" autoLine="0" autoPict="0" macro="[0]!CheckBox5_Click">
                <anchor moveWithCells="1">
                  <from>
                    <xdr:col>6</xdr:col>
                    <xdr:colOff>1581150</xdr:colOff>
                    <xdr:row>10</xdr:row>
                    <xdr:rowOff>190500</xdr:rowOff>
                  </from>
                  <to>
                    <xdr:col>7</xdr:col>
                    <xdr:colOff>485775</xdr:colOff>
                    <xdr:row>11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Check Box 6">
              <controlPr defaultSize="0" autoFill="0" autoLine="0" autoPict="0" macro="[0]!CheckBox6_Click">
                <anchor moveWithCells="1">
                  <from>
                    <xdr:col>10</xdr:col>
                    <xdr:colOff>2247900</xdr:colOff>
                    <xdr:row>9</xdr:row>
                    <xdr:rowOff>190500</xdr:rowOff>
                  </from>
                  <to>
                    <xdr:col>11</xdr:col>
                    <xdr:colOff>495300</xdr:colOff>
                    <xdr:row>11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Check Box 7">
              <controlPr defaultSize="0" autoFill="0" autoLine="0" autoPict="0" macro="[0]!CheckBox7_Click">
                <anchor moveWithCells="1">
                  <from>
                    <xdr:col>10</xdr:col>
                    <xdr:colOff>2247900</xdr:colOff>
                    <xdr:row>10</xdr:row>
                    <xdr:rowOff>180975</xdr:rowOff>
                  </from>
                  <to>
                    <xdr:col>11</xdr:col>
                    <xdr:colOff>495300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0" name="Check Box 8">
              <controlPr defaultSize="0" autoFill="0" autoLine="0" autoPict="0" macro="[0]!CheckBox8_Click">
                <anchor moveWithCells="1">
                  <from>
                    <xdr:col>14</xdr:col>
                    <xdr:colOff>2019300</xdr:colOff>
                    <xdr:row>9</xdr:row>
                    <xdr:rowOff>171450</xdr:rowOff>
                  </from>
                  <to>
                    <xdr:col>16</xdr:col>
                    <xdr:colOff>123825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1" name="Check Box 9">
              <controlPr defaultSize="0" autoFill="0" autoLine="0" autoPict="0" macro="[0]!CheckBox9_Click">
                <anchor moveWithCells="1">
                  <from>
                    <xdr:col>23</xdr:col>
                    <xdr:colOff>1924050</xdr:colOff>
                    <xdr:row>9</xdr:row>
                    <xdr:rowOff>161925</xdr:rowOff>
                  </from>
                  <to>
                    <xdr:col>25</xdr:col>
                    <xdr:colOff>114300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2" name="Check Box 10">
              <controlPr defaultSize="0" autoFill="0" autoLine="0" autoPict="0" macro="[0]!CheckBox10_Click">
                <anchor moveWithCells="1">
                  <from>
                    <xdr:col>23</xdr:col>
                    <xdr:colOff>1914525</xdr:colOff>
                    <xdr:row>11</xdr:row>
                    <xdr:rowOff>19050</xdr:rowOff>
                  </from>
                  <to>
                    <xdr:col>25</xdr:col>
                    <xdr:colOff>123825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3" name="Check Box 11">
              <controlPr defaultSize="0" autoFill="0" autoLine="0" autoPict="0" macro="[0]!CheckBox11_Click">
                <anchor moveWithCells="1">
                  <from>
                    <xdr:col>30</xdr:col>
                    <xdr:colOff>1447800</xdr:colOff>
                    <xdr:row>9</xdr:row>
                    <xdr:rowOff>161925</xdr:rowOff>
                  </from>
                  <to>
                    <xdr:col>31</xdr:col>
                    <xdr:colOff>476250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4" name="Check Box 12">
              <controlPr defaultSize="0" autoFill="0" autoLine="0" autoPict="0" macro="[0]!CheckBox12_Click">
                <anchor moveWithCells="1">
                  <from>
                    <xdr:col>30</xdr:col>
                    <xdr:colOff>1447800</xdr:colOff>
                    <xdr:row>11</xdr:row>
                    <xdr:rowOff>19050</xdr:rowOff>
                  </from>
                  <to>
                    <xdr:col>31</xdr:col>
                    <xdr:colOff>476250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5" name="Check Box 13">
              <controlPr defaultSize="0" autoFill="0" autoLine="0" autoPict="0" macro="[0]!CheckBox13_Click">
                <anchor moveWithCells="1">
                  <from>
                    <xdr:col>17</xdr:col>
                    <xdr:colOff>2028825</xdr:colOff>
                    <xdr:row>9</xdr:row>
                    <xdr:rowOff>161925</xdr:rowOff>
                  </from>
                  <to>
                    <xdr:col>19</xdr:col>
                    <xdr:colOff>123825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6" name="Check Box 14">
              <controlPr defaultSize="0" autoFill="0" autoLine="0" autoPict="0" macro="[0]!CheckBox14_Click">
                <anchor moveWithCells="1">
                  <from>
                    <xdr:col>20</xdr:col>
                    <xdr:colOff>1743075</xdr:colOff>
                    <xdr:row>6</xdr:row>
                    <xdr:rowOff>171450</xdr:rowOff>
                  </from>
                  <to>
                    <xdr:col>22</xdr:col>
                    <xdr:colOff>123825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7" name="Check Box 15">
              <controlPr defaultSize="0" autoFill="0" autoLine="0" autoPict="0" macro="[0]!CheckBox15_Click">
                <anchor moveWithCells="1">
                  <from>
                    <xdr:col>23</xdr:col>
                    <xdr:colOff>1924050</xdr:colOff>
                    <xdr:row>6</xdr:row>
                    <xdr:rowOff>161925</xdr:rowOff>
                  </from>
                  <to>
                    <xdr:col>25</xdr:col>
                    <xdr:colOff>123825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8" name="Check Box 16">
              <controlPr defaultSize="0" autoFill="0" autoLine="0" autoPict="0" macro="[0]!CheckBox16_Click">
                <anchor moveWithCells="1">
                  <from>
                    <xdr:col>26</xdr:col>
                    <xdr:colOff>1333500</xdr:colOff>
                    <xdr:row>9</xdr:row>
                    <xdr:rowOff>152400</xdr:rowOff>
                  </from>
                  <to>
                    <xdr:col>27</xdr:col>
                    <xdr:colOff>504825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9" name="Check Box 17">
              <controlPr defaultSize="0" autoFill="0" autoLine="0" autoPict="0" macro="[0]!CheckBox17_Click">
                <anchor moveWithCells="1">
                  <from>
                    <xdr:col>17</xdr:col>
                    <xdr:colOff>2028825</xdr:colOff>
                    <xdr:row>12</xdr:row>
                    <xdr:rowOff>219075</xdr:rowOff>
                  </from>
                  <to>
                    <xdr:col>19</xdr:col>
                    <xdr:colOff>123825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20" name="Check Box 18">
              <controlPr defaultSize="0" autoFill="0" autoLine="0" autoPict="0" macro="[0]!CheckBox18_Click">
                <anchor moveWithCells="1">
                  <from>
                    <xdr:col>6</xdr:col>
                    <xdr:colOff>1581150</xdr:colOff>
                    <xdr:row>12</xdr:row>
                    <xdr:rowOff>228600</xdr:rowOff>
                  </from>
                  <to>
                    <xdr:col>7</xdr:col>
                    <xdr:colOff>504825</xdr:colOff>
                    <xdr:row>13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21" name="Check Box 19">
              <controlPr defaultSize="0" autoFill="0" autoLine="0" autoPict="0" macro="[0]!CheckBox19_Click">
                <anchor moveWithCells="1">
                  <from>
                    <xdr:col>2</xdr:col>
                    <xdr:colOff>1771650</xdr:colOff>
                    <xdr:row>15</xdr:row>
                    <xdr:rowOff>219075</xdr:rowOff>
                  </from>
                  <to>
                    <xdr:col>3</xdr:col>
                    <xdr:colOff>504825</xdr:colOff>
                    <xdr:row>16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22" name="Check Box 20">
              <controlPr defaultSize="0" autoFill="0" autoLine="0" autoPict="0" macro="[0]!CheckBox20_Click">
                <anchor moveWithCells="1">
                  <from>
                    <xdr:col>6</xdr:col>
                    <xdr:colOff>1581150</xdr:colOff>
                    <xdr:row>15</xdr:row>
                    <xdr:rowOff>228600</xdr:rowOff>
                  </from>
                  <to>
                    <xdr:col>7</xdr:col>
                    <xdr:colOff>485775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23" name="Check Box 21">
              <controlPr defaultSize="0" autoFill="0" autoLine="0" autoPict="0" macro="[0]!CheckBox21_Click">
                <anchor moveWithCells="1">
                  <from>
                    <xdr:col>10</xdr:col>
                    <xdr:colOff>2247900</xdr:colOff>
                    <xdr:row>15</xdr:row>
                    <xdr:rowOff>228600</xdr:rowOff>
                  </from>
                  <to>
                    <xdr:col>11</xdr:col>
                    <xdr:colOff>485775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24" name="Check Box 22">
              <controlPr defaultSize="0" autoFill="0" autoLine="0" autoPict="0" macro="[0]!CheckBox22_Click">
                <anchor moveWithCells="1">
                  <from>
                    <xdr:col>4</xdr:col>
                    <xdr:colOff>1485900</xdr:colOff>
                    <xdr:row>21</xdr:row>
                    <xdr:rowOff>238125</xdr:rowOff>
                  </from>
                  <to>
                    <xdr:col>5</xdr:col>
                    <xdr:colOff>495300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25" name="Check Box 23">
              <controlPr defaultSize="0" autoFill="0" autoLine="0" autoPict="0" macro="[0]!Staff_CheckBox2_2_Click">
                <anchor moveWithCells="1">
                  <from>
                    <xdr:col>2</xdr:col>
                    <xdr:colOff>1752600</xdr:colOff>
                    <xdr:row>24</xdr:row>
                    <xdr:rowOff>238125</xdr:rowOff>
                  </from>
                  <to>
                    <xdr:col>3</xdr:col>
                    <xdr:colOff>476250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6" name="Check Box 24">
              <controlPr defaultSize="0" autoFill="0" autoLine="0" autoPict="0" macro="[0]!CheckBox24_Click">
                <anchor moveWithCells="1">
                  <from>
                    <xdr:col>2</xdr:col>
                    <xdr:colOff>1771650</xdr:colOff>
                    <xdr:row>39</xdr:row>
                    <xdr:rowOff>228600</xdr:rowOff>
                  </from>
                  <to>
                    <xdr:col>3</xdr:col>
                    <xdr:colOff>504825</xdr:colOff>
                    <xdr:row>40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27" name="Check Box 25">
              <controlPr defaultSize="0" autoFill="0" autoLine="0" autoPict="0" macro="[0]!CheckBox25_Click">
                <anchor moveWithCells="1">
                  <from>
                    <xdr:col>10</xdr:col>
                    <xdr:colOff>2247900</xdr:colOff>
                    <xdr:row>24</xdr:row>
                    <xdr:rowOff>209550</xdr:rowOff>
                  </from>
                  <to>
                    <xdr:col>11</xdr:col>
                    <xdr:colOff>495300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8" name="Check Box 26">
              <controlPr defaultSize="0" autoFill="0" autoLine="0" autoPict="0" macro="[0]!Staff_CheckBox2_Click">
                <anchor moveWithCells="1">
                  <from>
                    <xdr:col>6</xdr:col>
                    <xdr:colOff>1581150</xdr:colOff>
                    <xdr:row>24</xdr:row>
                    <xdr:rowOff>228600</xdr:rowOff>
                  </from>
                  <to>
                    <xdr:col>7</xdr:col>
                    <xdr:colOff>476250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29" name="Check Box 27">
              <controlPr defaultSize="0" autoFill="0" autoLine="0" autoPict="0" macro="[0]!Staff_CheckBox2_3_Click">
                <anchor moveWithCells="1">
                  <from>
                    <xdr:col>6</xdr:col>
                    <xdr:colOff>1571625</xdr:colOff>
                    <xdr:row>27</xdr:row>
                    <xdr:rowOff>238125</xdr:rowOff>
                  </from>
                  <to>
                    <xdr:col>7</xdr:col>
                    <xdr:colOff>514350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30" name="Check Box 28">
              <controlPr defaultSize="0" autoFill="0" autoLine="0" autoPict="0" macro="[0]!CheckBox28_Click">
                <anchor moveWithCells="1">
                  <from>
                    <xdr:col>6</xdr:col>
                    <xdr:colOff>1571625</xdr:colOff>
                    <xdr:row>33</xdr:row>
                    <xdr:rowOff>219075</xdr:rowOff>
                  </from>
                  <to>
                    <xdr:col>7</xdr:col>
                    <xdr:colOff>514350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31" name="Check Box 29">
              <controlPr defaultSize="0" autoFill="0" autoLine="0" autoPict="0" macro="[0]!CheckBox29_Click">
                <anchor moveWithCells="1">
                  <from>
                    <xdr:col>4</xdr:col>
                    <xdr:colOff>1485900</xdr:colOff>
                    <xdr:row>36</xdr:row>
                    <xdr:rowOff>238125</xdr:rowOff>
                  </from>
                  <to>
                    <xdr:col>5</xdr:col>
                    <xdr:colOff>485775</xdr:colOff>
                    <xdr:row>37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32" name="Check Box 30">
              <controlPr defaultSize="0" autoFill="0" autoLine="0" autoPict="0" macro="[0]!CheckBox30_Click">
                <anchor moveWithCells="1">
                  <from>
                    <xdr:col>4</xdr:col>
                    <xdr:colOff>1476375</xdr:colOff>
                    <xdr:row>40</xdr:row>
                    <xdr:rowOff>0</xdr:rowOff>
                  </from>
                  <to>
                    <xdr:col>5</xdr:col>
                    <xdr:colOff>495300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33" name="Check Box 31">
              <controlPr defaultSize="0" autoFill="0" autoLine="0" autoPict="0" macro="[0]!CheckBox31_Click">
                <anchor moveWithCells="1">
                  <from>
                    <xdr:col>10</xdr:col>
                    <xdr:colOff>2247900</xdr:colOff>
                    <xdr:row>33</xdr:row>
                    <xdr:rowOff>209550</xdr:rowOff>
                  </from>
                  <to>
                    <xdr:col>11</xdr:col>
                    <xdr:colOff>495300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34" name="Check Box 32">
              <controlPr defaultSize="0" autoFill="0" autoLine="0" autoPict="0" macro="[0]!CheckBox32_Click">
                <anchor moveWithCells="1">
                  <from>
                    <xdr:col>14</xdr:col>
                    <xdr:colOff>2019300</xdr:colOff>
                    <xdr:row>12</xdr:row>
                    <xdr:rowOff>200025</xdr:rowOff>
                  </from>
                  <to>
                    <xdr:col>16</xdr:col>
                    <xdr:colOff>123825</xdr:colOff>
                    <xdr:row>13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35" name="Check Box 33">
              <controlPr defaultSize="0" autoFill="0" autoLine="0" autoPict="0" macro="[0]!CheckBox33_Click">
                <anchor moveWithCells="1">
                  <from>
                    <xdr:col>14</xdr:col>
                    <xdr:colOff>2009775</xdr:colOff>
                    <xdr:row>15</xdr:row>
                    <xdr:rowOff>209550</xdr:rowOff>
                  </from>
                  <to>
                    <xdr:col>16</xdr:col>
                    <xdr:colOff>104775</xdr:colOff>
                    <xdr:row>16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36" name="Check Box 34">
              <controlPr defaultSize="0" autoFill="0" autoLine="0" autoPict="0" macro="[0]!CheckBox34_Click">
                <anchor moveWithCells="1">
                  <from>
                    <xdr:col>17</xdr:col>
                    <xdr:colOff>2028825</xdr:colOff>
                    <xdr:row>15</xdr:row>
                    <xdr:rowOff>209550</xdr:rowOff>
                  </from>
                  <to>
                    <xdr:col>19</xdr:col>
                    <xdr:colOff>114300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37" name="Check Box 35">
              <controlPr defaultSize="0" autoFill="0" autoLine="0" autoPict="0" macro="[0]!CheckBox35_Click">
                <anchor moveWithCells="1">
                  <from>
                    <xdr:col>14</xdr:col>
                    <xdr:colOff>2009775</xdr:colOff>
                    <xdr:row>33</xdr:row>
                    <xdr:rowOff>228600</xdr:rowOff>
                  </from>
                  <to>
                    <xdr:col>16</xdr:col>
                    <xdr:colOff>104775</xdr:colOff>
                    <xdr:row>34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38" name="Check Box 36">
              <controlPr defaultSize="0" autoFill="0" autoLine="0" autoPict="0" macro="[0]!CheckBox36_Click">
                <anchor moveWithCells="1">
                  <from>
                    <xdr:col>17</xdr:col>
                    <xdr:colOff>2028825</xdr:colOff>
                    <xdr:row>24</xdr:row>
                    <xdr:rowOff>209550</xdr:rowOff>
                  </from>
                  <to>
                    <xdr:col>19</xdr:col>
                    <xdr:colOff>114300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39" name="Check Box 37">
              <controlPr defaultSize="0" autoFill="0" autoLine="0" autoPict="0" macro="[0]!CheckBox37_Click">
                <anchor moveWithCells="1">
                  <from>
                    <xdr:col>17</xdr:col>
                    <xdr:colOff>2028825</xdr:colOff>
                    <xdr:row>27</xdr:row>
                    <xdr:rowOff>219075</xdr:rowOff>
                  </from>
                  <to>
                    <xdr:col>19</xdr:col>
                    <xdr:colOff>114300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40" name="Check Box 38">
              <controlPr defaultSize="0" autoFill="0" autoLine="0" autoPict="0">
                <anchor moveWithCells="1">
                  <from>
                    <xdr:col>17</xdr:col>
                    <xdr:colOff>2028825</xdr:colOff>
                    <xdr:row>30</xdr:row>
                    <xdr:rowOff>209550</xdr:rowOff>
                  </from>
                  <to>
                    <xdr:col>19</xdr:col>
                    <xdr:colOff>123825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41" name="Check Box 39">
              <controlPr defaultSize="0" autoFill="0" autoLine="0" autoPict="0" macro="[0]!CheckBox39_Click">
                <anchor moveWithCells="1">
                  <from>
                    <xdr:col>17</xdr:col>
                    <xdr:colOff>2028825</xdr:colOff>
                    <xdr:row>33</xdr:row>
                    <xdr:rowOff>209550</xdr:rowOff>
                  </from>
                  <to>
                    <xdr:col>19</xdr:col>
                    <xdr:colOff>123825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42" name="Check Box 40">
              <controlPr defaultSize="0" autoFill="0" autoLine="0" autoPict="0" macro="[0]!CheckBox40_Click">
                <anchor moveWithCells="1">
                  <from>
                    <xdr:col>20</xdr:col>
                    <xdr:colOff>1752600</xdr:colOff>
                    <xdr:row>21</xdr:row>
                    <xdr:rowOff>209550</xdr:rowOff>
                  </from>
                  <to>
                    <xdr:col>22</xdr:col>
                    <xdr:colOff>142875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43" name="Check Box 41">
              <controlPr defaultSize="0" autoFill="0" autoLine="0" autoPict="0" macro="[0]!CheckBox41_Click">
                <anchor moveWithCells="1">
                  <from>
                    <xdr:col>12</xdr:col>
                    <xdr:colOff>1485900</xdr:colOff>
                    <xdr:row>21</xdr:row>
                    <xdr:rowOff>209550</xdr:rowOff>
                  </from>
                  <to>
                    <xdr:col>13</xdr:col>
                    <xdr:colOff>485775</xdr:colOff>
                    <xdr:row>22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44" name="Check Box 42">
              <controlPr defaultSize="0" autoFill="0" autoLine="0" autoPict="0" macro="[0]!CheckBox42_Click">
                <anchor moveWithCells="1">
                  <from>
                    <xdr:col>23</xdr:col>
                    <xdr:colOff>1914525</xdr:colOff>
                    <xdr:row>12</xdr:row>
                    <xdr:rowOff>219075</xdr:rowOff>
                  </from>
                  <to>
                    <xdr:col>25</xdr:col>
                    <xdr:colOff>114300</xdr:colOff>
                    <xdr:row>13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45" name="Check Box 43">
              <controlPr defaultSize="0" autoFill="0" autoLine="0" autoPict="0" macro="[0]!CheckBox43_Click">
                <anchor moveWithCells="1">
                  <from>
                    <xdr:col>23</xdr:col>
                    <xdr:colOff>1905000</xdr:colOff>
                    <xdr:row>15</xdr:row>
                    <xdr:rowOff>228600</xdr:rowOff>
                  </from>
                  <to>
                    <xdr:col>25</xdr:col>
                    <xdr:colOff>95250</xdr:colOff>
                    <xdr:row>16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46" name="Check Box 44">
              <controlPr defaultSize="0" autoFill="0" autoLine="0" autoPict="0" macro="[0]!CheckBox44_Click">
                <anchor moveWithCells="1">
                  <from>
                    <xdr:col>23</xdr:col>
                    <xdr:colOff>1924050</xdr:colOff>
                    <xdr:row>24</xdr:row>
                    <xdr:rowOff>219075</xdr:rowOff>
                  </from>
                  <to>
                    <xdr:col>25</xdr:col>
                    <xdr:colOff>123825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47" name="Check Box 45">
              <controlPr defaultSize="0" autoFill="0" autoLine="0" autoPict="0" macro="[0]!CheckBox45_Click">
                <anchor moveWithCells="1">
                  <from>
                    <xdr:col>23</xdr:col>
                    <xdr:colOff>1914525</xdr:colOff>
                    <xdr:row>27</xdr:row>
                    <xdr:rowOff>228600</xdr:rowOff>
                  </from>
                  <to>
                    <xdr:col>25</xdr:col>
                    <xdr:colOff>104775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48" name="Check Box 46">
              <controlPr defaultSize="0" autoFill="0" autoLine="0" autoPict="0" macro="[0]!CheckBox46_Click">
                <anchor moveWithCells="1">
                  <from>
                    <xdr:col>23</xdr:col>
                    <xdr:colOff>1905000</xdr:colOff>
                    <xdr:row>30</xdr:row>
                    <xdr:rowOff>219075</xdr:rowOff>
                  </from>
                  <to>
                    <xdr:col>25</xdr:col>
                    <xdr:colOff>95250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49" name="Check Box 47">
              <controlPr defaultSize="0" autoFill="0" autoLine="0" autoPict="0" macro="[0]!CheckBox47_Click">
                <anchor moveWithCells="1">
                  <from>
                    <xdr:col>23</xdr:col>
                    <xdr:colOff>1914525</xdr:colOff>
                    <xdr:row>33</xdr:row>
                    <xdr:rowOff>228600</xdr:rowOff>
                  </from>
                  <to>
                    <xdr:col>25</xdr:col>
                    <xdr:colOff>104775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50" name="Check Box 48">
              <controlPr defaultSize="0" autoFill="0" autoLine="0" autoPict="0" macro="[0]!CheckBox48_Click">
                <anchor moveWithCells="1">
                  <from>
                    <xdr:col>26</xdr:col>
                    <xdr:colOff>1333500</xdr:colOff>
                    <xdr:row>12</xdr:row>
                    <xdr:rowOff>219075</xdr:rowOff>
                  </from>
                  <to>
                    <xdr:col>27</xdr:col>
                    <xdr:colOff>495300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51" name="Check Box 49">
              <controlPr defaultSize="0" autoFill="0" autoLine="0" autoPict="0" macro="[0]!CheckBox49_Click">
                <anchor moveWithCells="1">
                  <from>
                    <xdr:col>26</xdr:col>
                    <xdr:colOff>1323975</xdr:colOff>
                    <xdr:row>24</xdr:row>
                    <xdr:rowOff>219075</xdr:rowOff>
                  </from>
                  <to>
                    <xdr:col>27</xdr:col>
                    <xdr:colOff>504825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52" name="Check Box 50">
              <controlPr defaultSize="0" autoFill="0" autoLine="0" autoPict="0" macro="[0]!CheckBox50_Click">
                <anchor moveWithCells="1">
                  <from>
                    <xdr:col>26</xdr:col>
                    <xdr:colOff>1323975</xdr:colOff>
                    <xdr:row>27</xdr:row>
                    <xdr:rowOff>200025</xdr:rowOff>
                  </from>
                  <to>
                    <xdr:col>27</xdr:col>
                    <xdr:colOff>504825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53" name="Check Box 51">
              <controlPr defaultSize="0" autoFill="0" autoLine="0" autoPict="0" macro="[0]!CheckBox51_Click">
                <anchor moveWithCells="1">
                  <from>
                    <xdr:col>26</xdr:col>
                    <xdr:colOff>1323975</xdr:colOff>
                    <xdr:row>30</xdr:row>
                    <xdr:rowOff>209550</xdr:rowOff>
                  </from>
                  <to>
                    <xdr:col>27</xdr:col>
                    <xdr:colOff>504825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54" name="Check Box 52">
              <controlPr defaultSize="0" autoFill="0" autoLine="0" autoPict="0" macro="[0]!CheckBox52_Click">
                <anchor moveWithCells="1">
                  <from>
                    <xdr:col>26</xdr:col>
                    <xdr:colOff>1343025</xdr:colOff>
                    <xdr:row>33</xdr:row>
                    <xdr:rowOff>200025</xdr:rowOff>
                  </from>
                  <to>
                    <xdr:col>28</xdr:col>
                    <xdr:colOff>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55" name="Check Box 53">
              <controlPr defaultSize="0" autoFill="0" autoLine="0" autoPict="0" macro="[0]!CheckBox53_Click">
                <anchor moveWithCells="1">
                  <from>
                    <xdr:col>28</xdr:col>
                    <xdr:colOff>1352550</xdr:colOff>
                    <xdr:row>21</xdr:row>
                    <xdr:rowOff>190500</xdr:rowOff>
                  </from>
                  <to>
                    <xdr:col>29</xdr:col>
                    <xdr:colOff>495300</xdr:colOff>
                    <xdr:row>22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56" name="Check Box 54">
              <controlPr defaultSize="0" autoFill="0" autoLine="0" autoPict="0" macro="[0]!CheckBox54_Click">
                <anchor moveWithCells="1">
                  <from>
                    <xdr:col>30</xdr:col>
                    <xdr:colOff>1457325</xdr:colOff>
                    <xdr:row>12</xdr:row>
                    <xdr:rowOff>219075</xdr:rowOff>
                  </from>
                  <to>
                    <xdr:col>31</xdr:col>
                    <xdr:colOff>485775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57" name="Check Box 55">
              <controlPr defaultSize="0" autoFill="0" autoLine="0" autoPict="0" macro="[0]!CheckBox55_Click">
                <anchor moveWithCells="1">
                  <from>
                    <xdr:col>30</xdr:col>
                    <xdr:colOff>1447800</xdr:colOff>
                    <xdr:row>15</xdr:row>
                    <xdr:rowOff>228600</xdr:rowOff>
                  </from>
                  <to>
                    <xdr:col>31</xdr:col>
                    <xdr:colOff>476250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58" name="Check Box 56">
              <controlPr defaultSize="0" autoFill="0" autoLine="0" autoPict="0" macro="[0]!CheckBox56_Click">
                <anchor moveWithCells="1">
                  <from>
                    <xdr:col>30</xdr:col>
                    <xdr:colOff>1457325</xdr:colOff>
                    <xdr:row>24</xdr:row>
                    <xdr:rowOff>219075</xdr:rowOff>
                  </from>
                  <to>
                    <xdr:col>31</xdr:col>
                    <xdr:colOff>476250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59" name="Check Box 57">
              <controlPr defaultSize="0" autoFill="0" autoLine="0" autoPict="0" macro="[0]!CheckBox57_Click">
                <anchor moveWithCells="1">
                  <from>
                    <xdr:col>30</xdr:col>
                    <xdr:colOff>1457325</xdr:colOff>
                    <xdr:row>30</xdr:row>
                    <xdr:rowOff>219075</xdr:rowOff>
                  </from>
                  <to>
                    <xdr:col>31</xdr:col>
                    <xdr:colOff>476250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60" name="Check Box 58">
              <controlPr defaultSize="0" autoFill="0" autoLine="0" autoPict="0" macro="[0]!CheckBox58_Click">
                <anchor moveWithCells="1">
                  <from>
                    <xdr:col>30</xdr:col>
                    <xdr:colOff>1447800</xdr:colOff>
                    <xdr:row>33</xdr:row>
                    <xdr:rowOff>219075</xdr:rowOff>
                  </from>
                  <to>
                    <xdr:col>31</xdr:col>
                    <xdr:colOff>485775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61" name="Check Box 59">
              <controlPr defaultSize="0" autoFill="0" autoLine="0" autoPict="0" macro="[0]!CheckBox59_Click">
                <anchor moveWithCells="1">
                  <from>
                    <xdr:col>34</xdr:col>
                    <xdr:colOff>942975</xdr:colOff>
                    <xdr:row>30</xdr:row>
                    <xdr:rowOff>219075</xdr:rowOff>
                  </from>
                  <to>
                    <xdr:col>35</xdr:col>
                    <xdr:colOff>485775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62" name="Check Box 60">
              <controlPr defaultSize="0" autoFill="0" autoLine="0" autoPict="0" macro="[0]!CheckBox60_Click">
                <anchor moveWithCells="1">
                  <from>
                    <xdr:col>34</xdr:col>
                    <xdr:colOff>962025</xdr:colOff>
                    <xdr:row>24</xdr:row>
                    <xdr:rowOff>200025</xdr:rowOff>
                  </from>
                  <to>
                    <xdr:col>36</xdr:col>
                    <xdr:colOff>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63" name="Check Box 61">
              <controlPr defaultSize="0" autoFill="0" autoLine="0" autoPict="0" macro="[0]!CheckBox61_Click">
                <anchor moveWithCells="1">
                  <from>
                    <xdr:col>34</xdr:col>
                    <xdr:colOff>942975</xdr:colOff>
                    <xdr:row>9</xdr:row>
                    <xdr:rowOff>161925</xdr:rowOff>
                  </from>
                  <to>
                    <xdr:col>35</xdr:col>
                    <xdr:colOff>504825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" r:id="rId64" name="Check Box 62">
              <controlPr defaultSize="0" autoFill="0" autoLine="0" autoPict="0" macro="[0]!CheckBox62_Click">
                <anchor moveWithCells="1">
                  <from>
                    <xdr:col>36</xdr:col>
                    <xdr:colOff>1181100</xdr:colOff>
                    <xdr:row>21</xdr:row>
                    <xdr:rowOff>219075</xdr:rowOff>
                  </from>
                  <to>
                    <xdr:col>37</xdr:col>
                    <xdr:colOff>514350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65" name="Check Box 63">
              <controlPr defaultSize="0" autoFill="0" autoLine="0" autoPict="0" macro="[0]!CheckBox63_Click">
                <anchor moveWithCells="1">
                  <from>
                    <xdr:col>38</xdr:col>
                    <xdr:colOff>1009650</xdr:colOff>
                    <xdr:row>9</xdr:row>
                    <xdr:rowOff>161925</xdr:rowOff>
                  </from>
                  <to>
                    <xdr:col>39</xdr:col>
                    <xdr:colOff>476250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66" name="Check Box 64">
              <controlPr defaultSize="0" autoFill="0" autoLine="0" autoPict="0" macro="[0]!CheckBox64_Click">
                <anchor moveWithCells="1">
                  <from>
                    <xdr:col>38</xdr:col>
                    <xdr:colOff>1009650</xdr:colOff>
                    <xdr:row>24</xdr:row>
                    <xdr:rowOff>209550</xdr:rowOff>
                  </from>
                  <to>
                    <xdr:col>39</xdr:col>
                    <xdr:colOff>504825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67" name="Check Box 65">
              <controlPr defaultSize="0" autoFill="0" autoLine="0" autoPict="0" macro="[0]!CheckBox65_Click">
                <anchor moveWithCells="1">
                  <from>
                    <xdr:col>38</xdr:col>
                    <xdr:colOff>1019175</xdr:colOff>
                    <xdr:row>27</xdr:row>
                    <xdr:rowOff>200025</xdr:rowOff>
                  </from>
                  <to>
                    <xdr:col>39</xdr:col>
                    <xdr:colOff>514350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68" name="Check Box 66">
              <controlPr defaultSize="0" autoFill="0" autoLine="0" autoPict="0" macro="[0]!CheckBox66_Click">
                <anchor moveWithCells="1">
                  <from>
                    <xdr:col>36</xdr:col>
                    <xdr:colOff>1181100</xdr:colOff>
                    <xdr:row>36</xdr:row>
                    <xdr:rowOff>209550</xdr:rowOff>
                  </from>
                  <to>
                    <xdr:col>37</xdr:col>
                    <xdr:colOff>514350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69" name="Check Box 67">
              <controlPr defaultSize="0" autoFill="0" autoLine="0" autoPict="0" macro="[0]!CheckBox67_Click">
                <anchor moveWithCells="1">
                  <from>
                    <xdr:col>20</xdr:col>
                    <xdr:colOff>1762125</xdr:colOff>
                    <xdr:row>36</xdr:row>
                    <xdr:rowOff>209550</xdr:rowOff>
                  </from>
                  <to>
                    <xdr:col>22</xdr:col>
                    <xdr:colOff>152400</xdr:colOff>
                    <xdr:row>37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70" name="Check Box 68">
              <controlPr defaultSize="0" autoFill="0" autoLine="0" autoPict="0" macro="[0]!CheckBox68_Click">
                <anchor moveWithCells="1">
                  <from>
                    <xdr:col>20</xdr:col>
                    <xdr:colOff>1762125</xdr:colOff>
                    <xdr:row>39</xdr:row>
                    <xdr:rowOff>200025</xdr:rowOff>
                  </from>
                  <to>
                    <xdr:col>22</xdr:col>
                    <xdr:colOff>142875</xdr:colOff>
                    <xdr:row>40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" r:id="rId71" name="Check Box 71">
              <controlPr defaultSize="0" autoFill="0" autoLine="0" autoPict="0" macro="[0]!CheckBox71_Click">
                <anchor moveWithCells="1">
                  <from>
                    <xdr:col>17</xdr:col>
                    <xdr:colOff>2028825</xdr:colOff>
                    <xdr:row>13</xdr:row>
                    <xdr:rowOff>228600</xdr:rowOff>
                  </from>
                  <to>
                    <xdr:col>19</xdr:col>
                    <xdr:colOff>123825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6" r:id="rId72" name="Button 72">
              <controlPr defaultSize="0" print="0" autoFill="0" autoPict="0" macro="[0]!Refresh">
                <anchor moveWithCells="1" sizeWithCells="1">
                  <from>
                    <xdr:col>0</xdr:col>
                    <xdr:colOff>200025</xdr:colOff>
                    <xdr:row>0</xdr:row>
                    <xdr:rowOff>180975</xdr:rowOff>
                  </from>
                  <to>
                    <xdr:col>2</xdr:col>
                    <xdr:colOff>1000125</xdr:colOff>
                    <xdr:row>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8" r:id="rId73" name="Check Box 74">
              <controlPr defaultSize="0" autoFill="0" autoLine="0" autoPict="0" macro="[0]!CheckBox74_Click">
                <anchor moveWithCells="1">
                  <from>
                    <xdr:col>6</xdr:col>
                    <xdr:colOff>1571625</xdr:colOff>
                    <xdr:row>30</xdr:row>
                    <xdr:rowOff>209550</xdr:rowOff>
                  </from>
                  <to>
                    <xdr:col>7</xdr:col>
                    <xdr:colOff>533400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9" r:id="rId74" name="Check Box 75">
              <controlPr defaultSize="0" autoFill="0" autoLine="0" autoPict="0" macro="[0]!CheckBox75_Click" altText="">
                <anchor moveWithCells="1">
                  <from>
                    <xdr:col>2</xdr:col>
                    <xdr:colOff>1752600</xdr:colOff>
                    <xdr:row>34</xdr:row>
                    <xdr:rowOff>0</xdr:rowOff>
                  </from>
                  <to>
                    <xdr:col>3</xdr:col>
                    <xdr:colOff>361950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75" name="Check Box 76">
              <controlPr defaultSize="0" autoFill="0" autoLine="0" autoPict="0" macro="[0]!CheckBox76_Click">
                <anchor moveWithCells="1">
                  <from>
                    <xdr:col>10</xdr:col>
                    <xdr:colOff>2238375</xdr:colOff>
                    <xdr:row>43</xdr:row>
                    <xdr:rowOff>228600</xdr:rowOff>
                  </from>
                  <to>
                    <xdr:col>11</xdr:col>
                    <xdr:colOff>438150</xdr:colOff>
                    <xdr:row>44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1" r:id="rId76" name="Check Box 77">
              <controlPr defaultSize="0" autoFill="0" autoLine="0" autoPict="0" macro="[0]!CheckBox77_Click">
                <anchor moveWithCells="1">
                  <from>
                    <xdr:col>10</xdr:col>
                    <xdr:colOff>2266950</xdr:colOff>
                    <xdr:row>27</xdr:row>
                    <xdr:rowOff>219075</xdr:rowOff>
                  </from>
                  <to>
                    <xdr:col>11</xdr:col>
                    <xdr:colOff>504825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2" r:id="rId77" name="Check Box 78">
              <controlPr defaultSize="0" autoFill="0" autoLine="0" autoPict="0" macro="[0]!CheckBox78_Click">
                <anchor moveWithCells="1">
                  <from>
                    <xdr:col>10</xdr:col>
                    <xdr:colOff>2266950</xdr:colOff>
                    <xdr:row>30</xdr:row>
                    <xdr:rowOff>219075</xdr:rowOff>
                  </from>
                  <to>
                    <xdr:col>11</xdr:col>
                    <xdr:colOff>504825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3" r:id="rId78" name="Check Box 79">
              <controlPr defaultSize="0" autoFill="0" autoLine="0" autoPict="0" macro="[0]!CheckBox79_Click">
                <anchor moveWithCells="1">
                  <from>
                    <xdr:col>14</xdr:col>
                    <xdr:colOff>2019300</xdr:colOff>
                    <xdr:row>24</xdr:row>
                    <xdr:rowOff>219075</xdr:rowOff>
                  </from>
                  <to>
                    <xdr:col>16</xdr:col>
                    <xdr:colOff>123825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4" r:id="rId79" name="Check Box 80">
              <controlPr defaultSize="0" autoFill="0" autoLine="0" autoPict="0" macro="[0]!CheckBox80_Click">
                <anchor moveWithCells="1">
                  <from>
                    <xdr:col>14</xdr:col>
                    <xdr:colOff>2019300</xdr:colOff>
                    <xdr:row>27</xdr:row>
                    <xdr:rowOff>200025</xdr:rowOff>
                  </from>
                  <to>
                    <xdr:col>16</xdr:col>
                    <xdr:colOff>123825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" r:id="rId80" name="Check Box 81">
              <controlPr defaultSize="0" autoFill="0" autoLine="0" autoPict="0" macro="[0]!CheckBox81_Click">
                <anchor moveWithCells="1">
                  <from>
                    <xdr:col>17</xdr:col>
                    <xdr:colOff>2009775</xdr:colOff>
                    <xdr:row>6</xdr:row>
                    <xdr:rowOff>161925</xdr:rowOff>
                  </from>
                  <to>
                    <xdr:col>19</xdr:col>
                    <xdr:colOff>104775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6" r:id="rId81" name="Check Box 82">
              <controlPr defaultSize="0" autoFill="0" autoLine="0" autoPict="0" macro="[0]!CheckBox82_Click">
                <anchor moveWithCells="1">
                  <from>
                    <xdr:col>8</xdr:col>
                    <xdr:colOff>114300</xdr:colOff>
                    <xdr:row>16</xdr:row>
                    <xdr:rowOff>190500</xdr:rowOff>
                  </from>
                  <to>
                    <xdr:col>9</xdr:col>
                    <xdr:colOff>400050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7" r:id="rId82" name="Check Box 83">
              <controlPr defaultSize="0" autoFill="0" autoLine="0" autoPict="0" macro="[0]!CheckBox83_Click">
                <anchor moveWithCells="1">
                  <from>
                    <xdr:col>8</xdr:col>
                    <xdr:colOff>104775</xdr:colOff>
                    <xdr:row>22</xdr:row>
                    <xdr:rowOff>171450</xdr:rowOff>
                  </from>
                  <to>
                    <xdr:col>9</xdr:col>
                    <xdr:colOff>390525</xdr:colOff>
                    <xdr:row>23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8" r:id="rId83" name="Check Box 84">
              <controlPr defaultSize="0" autoFill="0" autoLine="0" autoPict="0" macro="[0]!CheckBox84_Click">
                <anchor moveWithCells="1">
                  <from>
                    <xdr:col>26</xdr:col>
                    <xdr:colOff>1333500</xdr:colOff>
                    <xdr:row>15</xdr:row>
                    <xdr:rowOff>200025</xdr:rowOff>
                  </from>
                  <to>
                    <xdr:col>27</xdr:col>
                    <xdr:colOff>504825</xdr:colOff>
                    <xdr:row>16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9" r:id="rId84" name="Check Box 85">
              <controlPr defaultSize="0" autoFill="0" autoLine="0" autoPict="0" macro="[0]!CheckBox85_Click">
                <anchor moveWithCells="1">
                  <from>
                    <xdr:col>32</xdr:col>
                    <xdr:colOff>85725</xdr:colOff>
                    <xdr:row>16</xdr:row>
                    <xdr:rowOff>200025</xdr:rowOff>
                  </from>
                  <to>
                    <xdr:col>33</xdr:col>
                    <xdr:colOff>371475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0" r:id="rId85" name="Check Box 86">
              <controlPr defaultSize="0" autoFill="0" autoLine="0" autoPict="0" macro="[0]!CheckBox86_Click">
                <anchor moveWithCells="1">
                  <from>
                    <xdr:col>32</xdr:col>
                    <xdr:colOff>104775</xdr:colOff>
                    <xdr:row>22</xdr:row>
                    <xdr:rowOff>200025</xdr:rowOff>
                  </from>
                  <to>
                    <xdr:col>33</xdr:col>
                    <xdr:colOff>390525</xdr:colOff>
                    <xdr:row>23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1" r:id="rId86" name="Check Box 87">
              <controlPr defaultSize="0" autoFill="0" autoLine="0" autoPict="0" macro="[0]!CheckBox87_Click">
                <anchor moveWithCells="1">
                  <from>
                    <xdr:col>12</xdr:col>
                    <xdr:colOff>1485900</xdr:colOff>
                    <xdr:row>36</xdr:row>
                    <xdr:rowOff>219075</xdr:rowOff>
                  </from>
                  <to>
                    <xdr:col>13</xdr:col>
                    <xdr:colOff>485775</xdr:colOff>
                    <xdr:row>37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2" r:id="rId87" name="Check Box 88">
              <controlPr defaultSize="0" autoFill="0" autoLine="0" autoPict="0" macro="[0]!CheckBox88_Click">
                <anchor moveWithCells="1">
                  <from>
                    <xdr:col>12</xdr:col>
                    <xdr:colOff>1504950</xdr:colOff>
                    <xdr:row>39</xdr:row>
                    <xdr:rowOff>219075</xdr:rowOff>
                  </from>
                  <to>
                    <xdr:col>13</xdr:col>
                    <xdr:colOff>504825</xdr:colOff>
                    <xdr:row>40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3" r:id="rId88" name="Check Box 89">
              <controlPr defaultSize="0" autoFill="0" autoLine="0" autoPict="0" macro="[0]!CheckBox89_Click">
                <anchor moveWithCells="1">
                  <from>
                    <xdr:col>28</xdr:col>
                    <xdr:colOff>1362075</xdr:colOff>
                    <xdr:row>36</xdr:row>
                    <xdr:rowOff>219075</xdr:rowOff>
                  </from>
                  <to>
                    <xdr:col>29</xdr:col>
                    <xdr:colOff>485775</xdr:colOff>
                    <xdr:row>37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4" r:id="rId89" name="Check Box 90">
              <controlPr defaultSize="0" autoFill="0" autoLine="0" autoPict="0" macro="[0]!CheckBox90_Click">
                <anchor moveWithCells="1">
                  <from>
                    <xdr:col>28</xdr:col>
                    <xdr:colOff>1352550</xdr:colOff>
                    <xdr:row>39</xdr:row>
                    <xdr:rowOff>238125</xdr:rowOff>
                  </from>
                  <to>
                    <xdr:col>29</xdr:col>
                    <xdr:colOff>485775</xdr:colOff>
                    <xdr:row>40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5" r:id="rId90" name="Check Box 91">
              <controlPr defaultSize="0" autoFill="0" autoLine="0" autoPict="0" macro="[0]!CheckBox91_Click">
                <anchor moveWithCells="1">
                  <from>
                    <xdr:col>30</xdr:col>
                    <xdr:colOff>1457325</xdr:colOff>
                    <xdr:row>43</xdr:row>
                    <xdr:rowOff>228600</xdr:rowOff>
                  </from>
                  <to>
                    <xdr:col>31</xdr:col>
                    <xdr:colOff>495300</xdr:colOff>
                    <xdr:row>44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" r:id="rId91" name="Check Box 92">
              <controlPr defaultSize="0" autoFill="0" autoLine="0" autoPict="0" macro="[0]!CheckBox92_Click">
                <anchor moveWithCells="1">
                  <from>
                    <xdr:col>36</xdr:col>
                    <xdr:colOff>1171575</xdr:colOff>
                    <xdr:row>39</xdr:row>
                    <xdr:rowOff>219075</xdr:rowOff>
                  </from>
                  <to>
                    <xdr:col>37</xdr:col>
                    <xdr:colOff>495300</xdr:colOff>
                    <xdr:row>40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7" r:id="rId92" name="Check Box 93">
              <controlPr defaultSize="0" autoFill="0" autoLine="0" autoPict="0" macro="[0]!CheckBox93_Click">
                <anchor moveWithCells="1">
                  <from>
                    <xdr:col>38</xdr:col>
                    <xdr:colOff>1028700</xdr:colOff>
                    <xdr:row>30</xdr:row>
                    <xdr:rowOff>200025</xdr:rowOff>
                  </from>
                  <to>
                    <xdr:col>39</xdr:col>
                    <xdr:colOff>504825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8" r:id="rId93" name="Check Box 94">
              <controlPr defaultSize="0" autoFill="0" autoLine="0" autoPict="0" macro="[0]!CheckBox94_Click">
                <anchor moveWithCells="1">
                  <from>
                    <xdr:col>38</xdr:col>
                    <xdr:colOff>1009650</xdr:colOff>
                    <xdr:row>33</xdr:row>
                    <xdr:rowOff>200025</xdr:rowOff>
                  </from>
                  <to>
                    <xdr:col>39</xdr:col>
                    <xdr:colOff>495300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9" r:id="rId94" name="Check Box 95">
              <controlPr defaultSize="0" autoFill="0" autoLine="0" autoPict="0" macro="[0]!CheckBox95_Click">
                <anchor moveWithCells="1">
                  <from>
                    <xdr:col>34</xdr:col>
                    <xdr:colOff>942975</xdr:colOff>
                    <xdr:row>33</xdr:row>
                    <xdr:rowOff>219075</xdr:rowOff>
                  </from>
                  <to>
                    <xdr:col>35</xdr:col>
                    <xdr:colOff>495300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0" r:id="rId95" name="Check Box 96">
              <controlPr defaultSize="0" autoFill="0" autoLine="0" autoPict="0" macro="[0]!CheckBox96_Click">
                <anchor moveWithCells="1">
                  <from>
                    <xdr:col>34</xdr:col>
                    <xdr:colOff>942975</xdr:colOff>
                    <xdr:row>15</xdr:row>
                    <xdr:rowOff>219075</xdr:rowOff>
                  </from>
                  <to>
                    <xdr:col>35</xdr:col>
                    <xdr:colOff>495300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1" r:id="rId96" name="Check Box 97">
              <controlPr defaultSize="0" autoFill="0" autoLine="0" autoPict="0" macro="[0]!CheckBox97_Click">
                <anchor moveWithCells="1">
                  <from>
                    <xdr:col>38</xdr:col>
                    <xdr:colOff>1028700</xdr:colOff>
                    <xdr:row>12</xdr:row>
                    <xdr:rowOff>219075</xdr:rowOff>
                  </from>
                  <to>
                    <xdr:col>39</xdr:col>
                    <xdr:colOff>504825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2" r:id="rId97" name="Check Box 98">
              <controlPr defaultSize="0" autoFill="0" autoLine="0" autoPict="0" macro="[0]!CheckBox98_Click">
                <anchor moveWithCells="1">
                  <from>
                    <xdr:col>38</xdr:col>
                    <xdr:colOff>1028700</xdr:colOff>
                    <xdr:row>15</xdr:row>
                    <xdr:rowOff>200025</xdr:rowOff>
                  </from>
                  <to>
                    <xdr:col>39</xdr:col>
                    <xdr:colOff>504825</xdr:colOff>
                    <xdr:row>16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3" r:id="rId98" name="Button 99">
              <controlPr defaultSize="0" print="0" autoFill="0" autoPict="0" macro="[0]!Button99_Click">
                <anchor moveWithCells="1" sizeWithCells="1">
                  <from>
                    <xdr:col>2</xdr:col>
                    <xdr:colOff>1295400</xdr:colOff>
                    <xdr:row>0</xdr:row>
                    <xdr:rowOff>190500</xdr:rowOff>
                  </from>
                  <to>
                    <xdr:col>4</xdr:col>
                    <xdr:colOff>476250</xdr:colOff>
                    <xdr:row>4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600945-A395-4EF8-97BF-62D75706CC0C}">
  <sheetPr codeName="Sheet3"/>
  <dimension ref="A1:B45"/>
  <sheetViews>
    <sheetView workbookViewId="0">
      <selection activeCell="B25" sqref="B25"/>
    </sheetView>
  </sheetViews>
  <sheetFormatPr defaultRowHeight="15"/>
  <cols>
    <col min="1" max="1" width="29.140625" style="6" bestFit="1" customWidth="1"/>
    <col min="2" max="2" width="92.5703125" style="6" bestFit="1" customWidth="1"/>
  </cols>
  <sheetData>
    <row r="1" spans="1:2">
      <c r="A1" s="6" t="s">
        <v>25</v>
      </c>
      <c r="B1" s="6" t="s">
        <v>26</v>
      </c>
    </row>
    <row r="2" spans="1:2">
      <c r="A2" s="6" t="s">
        <v>16</v>
      </c>
      <c r="B2" s="6" t="s">
        <v>19</v>
      </c>
    </row>
    <row r="3" spans="1:2">
      <c r="A3" s="6" t="s">
        <v>18</v>
      </c>
      <c r="B3" s="6" t="s">
        <v>20</v>
      </c>
    </row>
    <row r="4" spans="1:2">
      <c r="A4" s="6" t="s">
        <v>17</v>
      </c>
      <c r="B4" s="6" t="s">
        <v>21</v>
      </c>
    </row>
    <row r="5" spans="1:2">
      <c r="A5" s="6" t="s">
        <v>22</v>
      </c>
      <c r="B5" s="6" t="s">
        <v>23</v>
      </c>
    </row>
    <row r="6" spans="1:2">
      <c r="A6" s="6" t="s">
        <v>3</v>
      </c>
      <c r="B6" s="6" t="s">
        <v>24</v>
      </c>
    </row>
    <row r="7" spans="1:2">
      <c r="A7" s="6" t="s">
        <v>27</v>
      </c>
      <c r="B7" s="6" t="s">
        <v>28</v>
      </c>
    </row>
    <row r="8" spans="1:2">
      <c r="A8" s="6" t="s">
        <v>6</v>
      </c>
      <c r="B8" s="6" t="s">
        <v>29</v>
      </c>
    </row>
    <row r="9" spans="1:2">
      <c r="A9" s="6" t="s">
        <v>88</v>
      </c>
      <c r="B9" s="6" t="s">
        <v>30</v>
      </c>
    </row>
    <row r="10" spans="1:2">
      <c r="A10" s="6" t="s">
        <v>31</v>
      </c>
      <c r="B10" s="6" t="s">
        <v>32</v>
      </c>
    </row>
    <row r="11" spans="1:2">
      <c r="A11" s="6" t="s">
        <v>33</v>
      </c>
      <c r="B11" s="6" t="s">
        <v>34</v>
      </c>
    </row>
    <row r="12" spans="1:2">
      <c r="A12" s="6" t="s">
        <v>35</v>
      </c>
      <c r="B12" s="6" t="s">
        <v>36</v>
      </c>
    </row>
    <row r="13" spans="1:2">
      <c r="A13" s="6" t="s">
        <v>37</v>
      </c>
      <c r="B13" s="6" t="s">
        <v>38</v>
      </c>
    </row>
    <row r="14" spans="1:2">
      <c r="A14" s="6" t="s">
        <v>39</v>
      </c>
      <c r="B14" s="6" t="s">
        <v>40</v>
      </c>
    </row>
    <row r="15" spans="1:2">
      <c r="A15" s="6" t="s">
        <v>41</v>
      </c>
      <c r="B15" s="6" t="s">
        <v>42</v>
      </c>
    </row>
    <row r="16" spans="1:2">
      <c r="A16" s="6" t="s">
        <v>43</v>
      </c>
      <c r="B16" s="6" t="s">
        <v>44</v>
      </c>
    </row>
    <row r="17" spans="1:2">
      <c r="A17" s="6" t="s">
        <v>45</v>
      </c>
      <c r="B17" s="6" t="s">
        <v>46</v>
      </c>
    </row>
    <row r="18" spans="1:2">
      <c r="A18" s="6" t="s">
        <v>47</v>
      </c>
      <c r="B18" s="6" t="s">
        <v>48</v>
      </c>
    </row>
    <row r="19" spans="1:2">
      <c r="A19" s="6" t="s">
        <v>49</v>
      </c>
      <c r="B19" s="6" t="s">
        <v>50</v>
      </c>
    </row>
    <row r="20" spans="1:2">
      <c r="A20" s="6" t="s">
        <v>51</v>
      </c>
      <c r="B20" s="6" t="s">
        <v>52</v>
      </c>
    </row>
    <row r="21" spans="1:2">
      <c r="A21" s="6" t="s">
        <v>53</v>
      </c>
      <c r="B21" s="6" t="s">
        <v>54</v>
      </c>
    </row>
    <row r="22" spans="1:2">
      <c r="A22" s="6" t="s">
        <v>55</v>
      </c>
      <c r="B22" s="6" t="s">
        <v>56</v>
      </c>
    </row>
    <row r="23" spans="1:2">
      <c r="A23" s="6" t="s">
        <v>57</v>
      </c>
      <c r="B23" s="6" t="s">
        <v>58</v>
      </c>
    </row>
    <row r="24" spans="1:2">
      <c r="A24" s="6" t="s">
        <v>59</v>
      </c>
      <c r="B24" s="6" t="s">
        <v>60</v>
      </c>
    </row>
    <row r="25" spans="1:2">
      <c r="A25" s="6" t="s">
        <v>61</v>
      </c>
      <c r="B25" s="6" t="s">
        <v>62</v>
      </c>
    </row>
    <row r="26" spans="1:2">
      <c r="A26" s="6" t="s">
        <v>63</v>
      </c>
      <c r="B26" s="6" t="s">
        <v>64</v>
      </c>
    </row>
    <row r="27" spans="1:2">
      <c r="A27" s="6" t="s">
        <v>65</v>
      </c>
      <c r="B27" s="6" t="s">
        <v>66</v>
      </c>
    </row>
    <row r="28" spans="1:2">
      <c r="A28" s="6" t="s">
        <v>67</v>
      </c>
      <c r="B28" s="6" t="s">
        <v>68</v>
      </c>
    </row>
    <row r="29" spans="1:2">
      <c r="A29" s="6" t="s">
        <v>69</v>
      </c>
      <c r="B29" s="6" t="s">
        <v>70</v>
      </c>
    </row>
    <row r="30" spans="1:2">
      <c r="A30" s="6" t="s">
        <v>71</v>
      </c>
      <c r="B30" s="6" t="s">
        <v>72</v>
      </c>
    </row>
    <row r="31" spans="1:2">
      <c r="A31" s="6" t="s">
        <v>73</v>
      </c>
      <c r="B31" s="6" t="s">
        <v>74</v>
      </c>
    </row>
    <row r="32" spans="1:2">
      <c r="A32" s="6" t="s">
        <v>75</v>
      </c>
      <c r="B32" s="6" t="s">
        <v>76</v>
      </c>
    </row>
    <row r="33" spans="1:2">
      <c r="A33" s="6" t="s">
        <v>77</v>
      </c>
      <c r="B33" s="6" t="s">
        <v>78</v>
      </c>
    </row>
    <row r="34" spans="1:2">
      <c r="A34" s="6" t="s">
        <v>79</v>
      </c>
      <c r="B34" s="6" t="s">
        <v>80</v>
      </c>
    </row>
    <row r="35" spans="1:2">
      <c r="A35" s="6" t="s">
        <v>14</v>
      </c>
      <c r="B35" s="6" t="s">
        <v>81</v>
      </c>
    </row>
    <row r="36" spans="1:2">
      <c r="A36" s="6" t="s">
        <v>82</v>
      </c>
      <c r="B36" s="6" t="s">
        <v>83</v>
      </c>
    </row>
    <row r="37" spans="1:2">
      <c r="A37" s="6" t="s">
        <v>84</v>
      </c>
      <c r="B37" s="6" t="s">
        <v>85</v>
      </c>
    </row>
    <row r="38" spans="1:2">
      <c r="A38" s="6" t="s">
        <v>86</v>
      </c>
      <c r="B38" s="6" t="s">
        <v>87</v>
      </c>
    </row>
    <row r="39" spans="1:2">
      <c r="A39" s="6" t="s">
        <v>89</v>
      </c>
      <c r="B39" s="6" t="s">
        <v>90</v>
      </c>
    </row>
    <row r="40" spans="1:2">
      <c r="A40" s="6" t="s">
        <v>91</v>
      </c>
      <c r="B40" s="6" t="s">
        <v>92</v>
      </c>
    </row>
    <row r="41" spans="1:2">
      <c r="A41" s="6" t="s">
        <v>93</v>
      </c>
      <c r="B41" s="6" t="s">
        <v>94</v>
      </c>
    </row>
    <row r="42" spans="1:2">
      <c r="A42" s="6" t="s">
        <v>12</v>
      </c>
      <c r="B42" s="6" t="s">
        <v>95</v>
      </c>
    </row>
    <row r="43" spans="1:2">
      <c r="A43" s="6" t="s">
        <v>96</v>
      </c>
      <c r="B43" s="6" t="s">
        <v>97</v>
      </c>
    </row>
    <row r="44" spans="1:2">
      <c r="A44" s="6" t="s">
        <v>98</v>
      </c>
      <c r="B44" s="6" t="s">
        <v>99</v>
      </c>
    </row>
    <row r="45" spans="1:2">
      <c r="A45" s="6" t="s">
        <v>11</v>
      </c>
      <c r="B45" s="6" t="s">
        <v>100</v>
      </c>
    </row>
  </sheetData>
  <autoFilter ref="A1:B6" xr:uid="{E5600945-A395-4EF8-97BF-62D75706CC0C}"/>
  <conditionalFormatting sqref="A1:A1048576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Staff Pivot</vt:lpstr>
      <vt:lpstr>Staff Pivot Edit</vt:lpstr>
      <vt:lpstr>Staff</vt:lpstr>
      <vt:lpstr>Inherited Skills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Ollie</dc:creator>
  <cp:lastModifiedBy>Ollie</cp:lastModifiedBy>
  <dcterms:created xsi:type="dcterms:W3CDTF">2023-02-22T19:00:01Z</dcterms:created>
  <dcterms:modified xsi:type="dcterms:W3CDTF">2023-02-23T21:05:56Z</dcterms:modified>
</cp:coreProperties>
</file>